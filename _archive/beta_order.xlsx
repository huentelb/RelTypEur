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tina/sciebo/projects/Kinmatrix/analyses/code/"/>
    </mc:Choice>
  </mc:AlternateContent>
  <xr:revisionPtr revIDLastSave="0" documentId="13_ncr:1_{36CB4CD7-6352-3541-B714-48710E59C98B}" xr6:coauthVersionLast="47" xr6:coauthVersionMax="47" xr10:uidLastSave="{00000000-0000-0000-0000-000000000000}"/>
  <bookViews>
    <workbookView xWindow="15260" yWindow="2420" windowWidth="23120" windowHeight="16420" xr2:uid="{AA3F9510-F723-C043-8917-96B7B5197F06}"/>
  </bookViews>
  <sheets>
    <sheet name="Sheet1 (2)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 a="1"/>
  <c r="N4" i="2" s="1"/>
  <c r="N14" i="2" a="1"/>
  <c r="N14" i="2" s="1"/>
  <c r="E3" i="2"/>
  <c r="F3" i="2" s="1"/>
  <c r="G3" i="2" s="1"/>
  <c r="H3" i="2" s="1"/>
  <c r="I3" i="2" s="1"/>
  <c r="E4" i="2"/>
  <c r="F4" i="2" s="1"/>
  <c r="G4" i="2" s="1"/>
  <c r="H4" i="2" s="1"/>
  <c r="I4" i="2" s="1"/>
  <c r="E5" i="2"/>
  <c r="F5" i="2" s="1"/>
  <c r="G5" i="2" s="1"/>
  <c r="H5" i="2" s="1"/>
  <c r="I5" i="2" s="1"/>
  <c r="E6" i="2"/>
  <c r="F6" i="2" s="1"/>
  <c r="G6" i="2" s="1"/>
  <c r="H6" i="2" s="1"/>
  <c r="I6" i="2" s="1"/>
  <c r="E7" i="2"/>
  <c r="F7" i="2" s="1"/>
  <c r="G7" i="2" s="1"/>
  <c r="H7" i="2" s="1"/>
  <c r="I7" i="2" s="1"/>
  <c r="E8" i="2"/>
  <c r="F8" i="2" s="1"/>
  <c r="G8" i="2" s="1"/>
  <c r="H8" i="2" s="1"/>
  <c r="I8" i="2" s="1"/>
  <c r="E9" i="2"/>
  <c r="F9" i="2" s="1"/>
  <c r="G9" i="2" s="1"/>
  <c r="H9" i="2" s="1"/>
  <c r="I9" i="2" s="1"/>
  <c r="E10" i="2"/>
  <c r="F10" i="2" s="1"/>
  <c r="G10" i="2" s="1"/>
  <c r="H10" i="2" s="1"/>
  <c r="I10" i="2" s="1"/>
  <c r="E11" i="2"/>
  <c r="F11" i="2" s="1"/>
  <c r="G11" i="2" s="1"/>
  <c r="H11" i="2" s="1"/>
  <c r="I11" i="2" s="1"/>
  <c r="E12" i="2"/>
  <c r="F12" i="2" s="1"/>
  <c r="G12" i="2" s="1"/>
  <c r="H12" i="2" s="1"/>
  <c r="I12" i="2" s="1"/>
  <c r="E13" i="2"/>
  <c r="F13" i="2" s="1"/>
  <c r="G13" i="2" s="1"/>
  <c r="H13" i="2" s="1"/>
  <c r="I13" i="2" s="1"/>
  <c r="E14" i="2"/>
  <c r="F14" i="2" s="1"/>
  <c r="G14" i="2" s="1"/>
  <c r="H14" i="2" s="1"/>
  <c r="I14" i="2" s="1"/>
  <c r="E15" i="2"/>
  <c r="F15" i="2" s="1"/>
  <c r="G15" i="2" s="1"/>
  <c r="H15" i="2" s="1"/>
  <c r="I15" i="2" s="1"/>
  <c r="E16" i="2"/>
  <c r="F16" i="2" s="1"/>
  <c r="G16" i="2" s="1"/>
  <c r="H16" i="2" s="1"/>
  <c r="I16" i="2" s="1"/>
  <c r="E17" i="2"/>
  <c r="F17" i="2" s="1"/>
  <c r="G17" i="2" s="1"/>
  <c r="H17" i="2" s="1"/>
  <c r="I17" i="2" s="1"/>
  <c r="E18" i="2"/>
  <c r="F18" i="2" s="1"/>
  <c r="G18" i="2" s="1"/>
  <c r="H18" i="2" s="1"/>
  <c r="I18" i="2" s="1"/>
  <c r="E19" i="2"/>
  <c r="F19" i="2" s="1"/>
  <c r="E20" i="2"/>
  <c r="F20" i="2" s="1"/>
  <c r="G20" i="2" s="1"/>
  <c r="H20" i="2" s="1"/>
  <c r="I20" i="2" s="1"/>
  <c r="E21" i="2"/>
  <c r="F21" i="2" s="1"/>
  <c r="G21" i="2" s="1"/>
  <c r="H21" i="2" s="1"/>
  <c r="I21" i="2" s="1"/>
  <c r="E22" i="2"/>
  <c r="F22" i="2" s="1"/>
  <c r="G22" i="2" s="1"/>
  <c r="H22" i="2" s="1"/>
  <c r="I22" i="2" s="1"/>
  <c r="E23" i="2"/>
  <c r="F23" i="2" s="1"/>
  <c r="G23" i="2" s="1"/>
  <c r="H23" i="2" s="1"/>
  <c r="I23" i="2" s="1"/>
  <c r="P14" i="1" a="1"/>
  <c r="P14" i="1" s="1"/>
  <c r="P12" i="1" a="1"/>
  <c r="P12" i="1" s="1"/>
  <c r="P9" i="1" a="1"/>
  <c r="P9" i="1" s="1"/>
  <c r="P6" i="1" a="1"/>
  <c r="P6" i="1" s="1"/>
  <c r="P8" i="1" a="1"/>
  <c r="P8" i="1" s="1"/>
  <c r="P7" i="1" a="1"/>
  <c r="P7" i="1" s="1"/>
  <c r="P5" i="1" a="1"/>
  <c r="P5" i="1" s="1"/>
  <c r="P4" i="1" a="1"/>
  <c r="P4" i="1" s="1"/>
  <c r="I113" i="1"/>
  <c r="I114" i="1"/>
  <c r="I115" i="1"/>
  <c r="J115" i="1" s="1"/>
  <c r="K115" i="1" s="1"/>
  <c r="L115" i="1" s="1"/>
  <c r="M115" i="1" s="1"/>
  <c r="I116" i="1"/>
  <c r="J116" i="1" s="1"/>
  <c r="K116" i="1" s="1"/>
  <c r="L116" i="1" s="1"/>
  <c r="M116" i="1" s="1"/>
  <c r="I117" i="1"/>
  <c r="J117" i="1" s="1"/>
  <c r="K117" i="1" s="1"/>
  <c r="L117" i="1" s="1"/>
  <c r="M117" i="1" s="1"/>
  <c r="I118" i="1"/>
  <c r="J118" i="1" s="1"/>
  <c r="K118" i="1" s="1"/>
  <c r="L118" i="1" s="1"/>
  <c r="M118" i="1" s="1"/>
  <c r="I119" i="1"/>
  <c r="I120" i="1"/>
  <c r="J120" i="1" s="1"/>
  <c r="K120" i="1" s="1"/>
  <c r="L120" i="1" s="1"/>
  <c r="M120" i="1" s="1"/>
  <c r="I121" i="1"/>
  <c r="I122" i="1"/>
  <c r="I123" i="1"/>
  <c r="J123" i="1" s="1"/>
  <c r="K123" i="1" s="1"/>
  <c r="L123" i="1" s="1"/>
  <c r="M123" i="1" s="1"/>
  <c r="I124" i="1"/>
  <c r="J124" i="1" s="1"/>
  <c r="K124" i="1" s="1"/>
  <c r="L124" i="1" s="1"/>
  <c r="M124" i="1" s="1"/>
  <c r="I125" i="1"/>
  <c r="J125" i="1" s="1"/>
  <c r="K125" i="1" s="1"/>
  <c r="L125" i="1" s="1"/>
  <c r="M125" i="1" s="1"/>
  <c r="I126" i="1"/>
  <c r="J126" i="1" s="1"/>
  <c r="K126" i="1" s="1"/>
  <c r="L126" i="1" s="1"/>
  <c r="M126" i="1" s="1"/>
  <c r="I127" i="1"/>
  <c r="I128" i="1"/>
  <c r="I129" i="1"/>
  <c r="I130" i="1"/>
  <c r="I131" i="1"/>
  <c r="J131" i="1" s="1"/>
  <c r="K131" i="1" s="1"/>
  <c r="L131" i="1" s="1"/>
  <c r="M131" i="1" s="1"/>
  <c r="I132" i="1"/>
  <c r="J132" i="1" s="1"/>
  <c r="K132" i="1" s="1"/>
  <c r="L132" i="1" s="1"/>
  <c r="M132" i="1" s="1"/>
  <c r="I133" i="1"/>
  <c r="J133" i="1" s="1"/>
  <c r="K133" i="1" s="1"/>
  <c r="L133" i="1" s="1"/>
  <c r="M133" i="1" s="1"/>
  <c r="I134" i="1"/>
  <c r="J134" i="1" s="1"/>
  <c r="K134" i="1" s="1"/>
  <c r="L134" i="1" s="1"/>
  <c r="M134" i="1" s="1"/>
  <c r="J113" i="1"/>
  <c r="J114" i="1"/>
  <c r="J119" i="1"/>
  <c r="K119" i="1" s="1"/>
  <c r="L119" i="1" s="1"/>
  <c r="M119" i="1" s="1"/>
  <c r="J121" i="1"/>
  <c r="J122" i="1"/>
  <c r="J127" i="1"/>
  <c r="K127" i="1" s="1"/>
  <c r="L127" i="1" s="1"/>
  <c r="M127" i="1" s="1"/>
  <c r="J128" i="1"/>
  <c r="K128" i="1" s="1"/>
  <c r="L128" i="1" s="1"/>
  <c r="M128" i="1" s="1"/>
  <c r="J129" i="1"/>
  <c r="J130" i="1"/>
  <c r="K113" i="1"/>
  <c r="L113" i="1" s="1"/>
  <c r="M113" i="1" s="1"/>
  <c r="K114" i="1"/>
  <c r="L114" i="1" s="1"/>
  <c r="M114" i="1" s="1"/>
  <c r="K121" i="1"/>
  <c r="L121" i="1" s="1"/>
  <c r="M121" i="1" s="1"/>
  <c r="K122" i="1"/>
  <c r="L122" i="1" s="1"/>
  <c r="M122" i="1" s="1"/>
  <c r="K129" i="1"/>
  <c r="L129" i="1" s="1"/>
  <c r="M129" i="1" s="1"/>
  <c r="K130" i="1"/>
  <c r="L130" i="1" s="1"/>
  <c r="M130" i="1" s="1"/>
  <c r="I91" i="1"/>
  <c r="I92" i="1"/>
  <c r="I93" i="1"/>
  <c r="J93" i="1" s="1"/>
  <c r="K93" i="1" s="1"/>
  <c r="L93" i="1" s="1"/>
  <c r="M93" i="1" s="1"/>
  <c r="I94" i="1"/>
  <c r="J94" i="1" s="1"/>
  <c r="K94" i="1" s="1"/>
  <c r="L94" i="1" s="1"/>
  <c r="M94" i="1" s="1"/>
  <c r="I95" i="1"/>
  <c r="J95" i="1" s="1"/>
  <c r="K95" i="1" s="1"/>
  <c r="L95" i="1" s="1"/>
  <c r="M95" i="1" s="1"/>
  <c r="I96" i="1"/>
  <c r="J96" i="1" s="1"/>
  <c r="K96" i="1" s="1"/>
  <c r="L96" i="1" s="1"/>
  <c r="M96" i="1" s="1"/>
  <c r="I97" i="1"/>
  <c r="J97" i="1" s="1"/>
  <c r="K97" i="1" s="1"/>
  <c r="L97" i="1" s="1"/>
  <c r="M97" i="1" s="1"/>
  <c r="I98" i="1"/>
  <c r="J98" i="1" s="1"/>
  <c r="K98" i="1" s="1"/>
  <c r="L98" i="1" s="1"/>
  <c r="M98" i="1" s="1"/>
  <c r="I99" i="1"/>
  <c r="I100" i="1"/>
  <c r="I101" i="1"/>
  <c r="J101" i="1" s="1"/>
  <c r="K101" i="1" s="1"/>
  <c r="L101" i="1" s="1"/>
  <c r="M101" i="1" s="1"/>
  <c r="I102" i="1"/>
  <c r="J102" i="1" s="1"/>
  <c r="K102" i="1" s="1"/>
  <c r="L102" i="1" s="1"/>
  <c r="M102" i="1" s="1"/>
  <c r="I103" i="1"/>
  <c r="J103" i="1" s="1"/>
  <c r="K103" i="1" s="1"/>
  <c r="L103" i="1" s="1"/>
  <c r="M103" i="1" s="1"/>
  <c r="I104" i="1"/>
  <c r="J104" i="1" s="1"/>
  <c r="K104" i="1" s="1"/>
  <c r="L104" i="1" s="1"/>
  <c r="M104" i="1" s="1"/>
  <c r="I105" i="1"/>
  <c r="J105" i="1" s="1"/>
  <c r="K105" i="1" s="1"/>
  <c r="L105" i="1" s="1"/>
  <c r="M105" i="1" s="1"/>
  <c r="I106" i="1"/>
  <c r="J106" i="1" s="1"/>
  <c r="K106" i="1" s="1"/>
  <c r="L106" i="1" s="1"/>
  <c r="M106" i="1" s="1"/>
  <c r="I107" i="1"/>
  <c r="J107" i="1" s="1"/>
  <c r="K107" i="1" s="1"/>
  <c r="L107" i="1" s="1"/>
  <c r="M107" i="1" s="1"/>
  <c r="I108" i="1"/>
  <c r="J108" i="1" s="1"/>
  <c r="K108" i="1" s="1"/>
  <c r="L108" i="1" s="1"/>
  <c r="M108" i="1" s="1"/>
  <c r="I109" i="1"/>
  <c r="J109" i="1" s="1"/>
  <c r="K109" i="1" s="1"/>
  <c r="L109" i="1" s="1"/>
  <c r="M109" i="1" s="1"/>
  <c r="I110" i="1"/>
  <c r="J110" i="1" s="1"/>
  <c r="K110" i="1" s="1"/>
  <c r="L110" i="1" s="1"/>
  <c r="M110" i="1" s="1"/>
  <c r="I111" i="1"/>
  <c r="J111" i="1" s="1"/>
  <c r="K111" i="1" s="1"/>
  <c r="L111" i="1" s="1"/>
  <c r="M111" i="1" s="1"/>
  <c r="I112" i="1"/>
  <c r="J112" i="1" s="1"/>
  <c r="K112" i="1" s="1"/>
  <c r="L112" i="1" s="1"/>
  <c r="M112" i="1" s="1"/>
  <c r="J91" i="1"/>
  <c r="K91" i="1" s="1"/>
  <c r="L91" i="1" s="1"/>
  <c r="M91" i="1" s="1"/>
  <c r="J92" i="1"/>
  <c r="K92" i="1" s="1"/>
  <c r="L92" i="1" s="1"/>
  <c r="M92" i="1" s="1"/>
  <c r="J99" i="1"/>
  <c r="K99" i="1" s="1"/>
  <c r="L99" i="1" s="1"/>
  <c r="M99" i="1" s="1"/>
  <c r="J100" i="1"/>
  <c r="K100" i="1" s="1"/>
  <c r="L100" i="1" s="1"/>
  <c r="M100" i="1" s="1"/>
  <c r="I69" i="1"/>
  <c r="J69" i="1" s="1"/>
  <c r="K69" i="1" s="1"/>
  <c r="L69" i="1" s="1"/>
  <c r="M69" i="1" s="1"/>
  <c r="I70" i="1"/>
  <c r="J70" i="1" s="1"/>
  <c r="K70" i="1" s="1"/>
  <c r="L70" i="1" s="1"/>
  <c r="M70" i="1" s="1"/>
  <c r="I71" i="1"/>
  <c r="J71" i="1" s="1"/>
  <c r="K71" i="1" s="1"/>
  <c r="L71" i="1" s="1"/>
  <c r="M71" i="1" s="1"/>
  <c r="I72" i="1"/>
  <c r="J72" i="1" s="1"/>
  <c r="K72" i="1" s="1"/>
  <c r="L72" i="1" s="1"/>
  <c r="M72" i="1" s="1"/>
  <c r="I73" i="1"/>
  <c r="J73" i="1" s="1"/>
  <c r="K73" i="1" s="1"/>
  <c r="L73" i="1" s="1"/>
  <c r="M73" i="1" s="1"/>
  <c r="I74" i="1"/>
  <c r="J74" i="1" s="1"/>
  <c r="K74" i="1" s="1"/>
  <c r="L74" i="1" s="1"/>
  <c r="M74" i="1" s="1"/>
  <c r="I75" i="1"/>
  <c r="J75" i="1" s="1"/>
  <c r="K75" i="1" s="1"/>
  <c r="L75" i="1" s="1"/>
  <c r="M75" i="1" s="1"/>
  <c r="I76" i="1"/>
  <c r="J76" i="1" s="1"/>
  <c r="K76" i="1" s="1"/>
  <c r="L76" i="1" s="1"/>
  <c r="M76" i="1" s="1"/>
  <c r="I77" i="1"/>
  <c r="J77" i="1" s="1"/>
  <c r="K77" i="1" s="1"/>
  <c r="L77" i="1" s="1"/>
  <c r="M77" i="1" s="1"/>
  <c r="I78" i="1"/>
  <c r="J78" i="1" s="1"/>
  <c r="K78" i="1" s="1"/>
  <c r="L78" i="1" s="1"/>
  <c r="M78" i="1" s="1"/>
  <c r="I79" i="1"/>
  <c r="J79" i="1" s="1"/>
  <c r="K79" i="1" s="1"/>
  <c r="L79" i="1" s="1"/>
  <c r="M79" i="1" s="1"/>
  <c r="I80" i="1"/>
  <c r="J80" i="1" s="1"/>
  <c r="K80" i="1" s="1"/>
  <c r="L80" i="1" s="1"/>
  <c r="M80" i="1" s="1"/>
  <c r="I81" i="1"/>
  <c r="J81" i="1" s="1"/>
  <c r="K81" i="1" s="1"/>
  <c r="L81" i="1" s="1"/>
  <c r="M81" i="1" s="1"/>
  <c r="I82" i="1"/>
  <c r="J82" i="1" s="1"/>
  <c r="K82" i="1" s="1"/>
  <c r="L82" i="1" s="1"/>
  <c r="M82" i="1" s="1"/>
  <c r="I83" i="1"/>
  <c r="J83" i="1" s="1"/>
  <c r="K83" i="1" s="1"/>
  <c r="L83" i="1" s="1"/>
  <c r="M83" i="1" s="1"/>
  <c r="I84" i="1"/>
  <c r="J84" i="1" s="1"/>
  <c r="K84" i="1" s="1"/>
  <c r="L84" i="1" s="1"/>
  <c r="M84" i="1" s="1"/>
  <c r="I85" i="1"/>
  <c r="J85" i="1" s="1"/>
  <c r="K85" i="1" s="1"/>
  <c r="L85" i="1" s="1"/>
  <c r="M85" i="1" s="1"/>
  <c r="I86" i="1"/>
  <c r="J86" i="1" s="1"/>
  <c r="K86" i="1" s="1"/>
  <c r="L86" i="1" s="1"/>
  <c r="M86" i="1" s="1"/>
  <c r="I87" i="1"/>
  <c r="J87" i="1" s="1"/>
  <c r="K87" i="1" s="1"/>
  <c r="L87" i="1" s="1"/>
  <c r="M87" i="1" s="1"/>
  <c r="I88" i="1"/>
  <c r="J88" i="1" s="1"/>
  <c r="K88" i="1" s="1"/>
  <c r="L88" i="1" s="1"/>
  <c r="M88" i="1" s="1"/>
  <c r="I89" i="1"/>
  <c r="J89" i="1" s="1"/>
  <c r="K89" i="1" s="1"/>
  <c r="L89" i="1" s="1"/>
  <c r="M89" i="1" s="1"/>
  <c r="I90" i="1"/>
  <c r="J90" i="1" s="1"/>
  <c r="K90" i="1" s="1"/>
  <c r="L90" i="1" s="1"/>
  <c r="M90" i="1" s="1"/>
  <c r="I47" i="1"/>
  <c r="J47" i="1" s="1"/>
  <c r="K47" i="1" s="1"/>
  <c r="L47" i="1" s="1"/>
  <c r="M47" i="1" s="1"/>
  <c r="I48" i="1"/>
  <c r="J48" i="1" s="1"/>
  <c r="K48" i="1" s="1"/>
  <c r="L48" i="1" s="1"/>
  <c r="M48" i="1" s="1"/>
  <c r="I49" i="1"/>
  <c r="J49" i="1" s="1"/>
  <c r="K49" i="1" s="1"/>
  <c r="L49" i="1" s="1"/>
  <c r="M49" i="1" s="1"/>
  <c r="I50" i="1"/>
  <c r="J50" i="1" s="1"/>
  <c r="K50" i="1" s="1"/>
  <c r="L50" i="1" s="1"/>
  <c r="M50" i="1" s="1"/>
  <c r="I51" i="1"/>
  <c r="J51" i="1" s="1"/>
  <c r="K51" i="1" s="1"/>
  <c r="L51" i="1" s="1"/>
  <c r="M51" i="1" s="1"/>
  <c r="I52" i="1"/>
  <c r="J52" i="1" s="1"/>
  <c r="K52" i="1" s="1"/>
  <c r="L52" i="1" s="1"/>
  <c r="M52" i="1" s="1"/>
  <c r="I53" i="1"/>
  <c r="J53" i="1" s="1"/>
  <c r="K53" i="1" s="1"/>
  <c r="L53" i="1" s="1"/>
  <c r="M53" i="1" s="1"/>
  <c r="I54" i="1"/>
  <c r="J54" i="1" s="1"/>
  <c r="K54" i="1" s="1"/>
  <c r="L54" i="1" s="1"/>
  <c r="M54" i="1" s="1"/>
  <c r="I55" i="1"/>
  <c r="J55" i="1" s="1"/>
  <c r="K55" i="1" s="1"/>
  <c r="L55" i="1" s="1"/>
  <c r="M55" i="1" s="1"/>
  <c r="I56" i="1"/>
  <c r="J56" i="1" s="1"/>
  <c r="K56" i="1" s="1"/>
  <c r="L56" i="1" s="1"/>
  <c r="M56" i="1" s="1"/>
  <c r="I57" i="1"/>
  <c r="J57" i="1" s="1"/>
  <c r="K57" i="1" s="1"/>
  <c r="L57" i="1" s="1"/>
  <c r="M57" i="1" s="1"/>
  <c r="I58" i="1"/>
  <c r="J58" i="1" s="1"/>
  <c r="K58" i="1" s="1"/>
  <c r="L58" i="1" s="1"/>
  <c r="M58" i="1" s="1"/>
  <c r="I59" i="1"/>
  <c r="J59" i="1" s="1"/>
  <c r="K59" i="1" s="1"/>
  <c r="L59" i="1" s="1"/>
  <c r="M59" i="1" s="1"/>
  <c r="I60" i="1"/>
  <c r="J60" i="1" s="1"/>
  <c r="K60" i="1" s="1"/>
  <c r="L60" i="1" s="1"/>
  <c r="M60" i="1" s="1"/>
  <c r="I61" i="1"/>
  <c r="J61" i="1" s="1"/>
  <c r="K61" i="1" s="1"/>
  <c r="L61" i="1" s="1"/>
  <c r="M61" i="1" s="1"/>
  <c r="I62" i="1"/>
  <c r="J62" i="1" s="1"/>
  <c r="K62" i="1" s="1"/>
  <c r="L62" i="1" s="1"/>
  <c r="M62" i="1" s="1"/>
  <c r="I63" i="1"/>
  <c r="J63" i="1" s="1"/>
  <c r="K63" i="1" s="1"/>
  <c r="L63" i="1" s="1"/>
  <c r="M63" i="1" s="1"/>
  <c r="I64" i="1"/>
  <c r="J64" i="1" s="1"/>
  <c r="K64" i="1" s="1"/>
  <c r="L64" i="1" s="1"/>
  <c r="M64" i="1" s="1"/>
  <c r="I65" i="1"/>
  <c r="J65" i="1" s="1"/>
  <c r="K65" i="1" s="1"/>
  <c r="L65" i="1" s="1"/>
  <c r="M65" i="1" s="1"/>
  <c r="I66" i="1"/>
  <c r="J66" i="1" s="1"/>
  <c r="K66" i="1" s="1"/>
  <c r="L66" i="1" s="1"/>
  <c r="M66" i="1" s="1"/>
  <c r="I67" i="1"/>
  <c r="J67" i="1" s="1"/>
  <c r="K67" i="1" s="1"/>
  <c r="L67" i="1" s="1"/>
  <c r="M67" i="1" s="1"/>
  <c r="I68" i="1"/>
  <c r="J68" i="1" s="1"/>
  <c r="K68" i="1" s="1"/>
  <c r="L68" i="1" s="1"/>
  <c r="M68" i="1" s="1"/>
  <c r="I4" i="1"/>
  <c r="J4" i="1" s="1"/>
  <c r="K4" i="1" s="1"/>
  <c r="L4" i="1" s="1"/>
  <c r="M4" i="1" s="1"/>
  <c r="I5" i="1"/>
  <c r="J5" i="1" s="1"/>
  <c r="K5" i="1" s="1"/>
  <c r="L5" i="1" s="1"/>
  <c r="M5" i="1" s="1"/>
  <c r="I6" i="1"/>
  <c r="J6" i="1" s="1"/>
  <c r="K6" i="1" s="1"/>
  <c r="L6" i="1" s="1"/>
  <c r="M6" i="1" s="1"/>
  <c r="I7" i="1"/>
  <c r="J7" i="1" s="1"/>
  <c r="K7" i="1" s="1"/>
  <c r="L7" i="1" s="1"/>
  <c r="M7" i="1" s="1"/>
  <c r="I8" i="1"/>
  <c r="J8" i="1" s="1"/>
  <c r="K8" i="1" s="1"/>
  <c r="L8" i="1" s="1"/>
  <c r="M8" i="1" s="1"/>
  <c r="I9" i="1"/>
  <c r="J9" i="1" s="1"/>
  <c r="K9" i="1" s="1"/>
  <c r="L9" i="1" s="1"/>
  <c r="M9" i="1" s="1"/>
  <c r="I10" i="1"/>
  <c r="J10" i="1" s="1"/>
  <c r="K10" i="1" s="1"/>
  <c r="L10" i="1" s="1"/>
  <c r="M10" i="1" s="1"/>
  <c r="I11" i="1"/>
  <c r="J11" i="1" s="1"/>
  <c r="K11" i="1" s="1"/>
  <c r="L11" i="1" s="1"/>
  <c r="M11" i="1" s="1"/>
  <c r="I12" i="1"/>
  <c r="J12" i="1" s="1"/>
  <c r="K12" i="1" s="1"/>
  <c r="L12" i="1" s="1"/>
  <c r="M12" i="1" s="1"/>
  <c r="I13" i="1"/>
  <c r="J13" i="1" s="1"/>
  <c r="K13" i="1" s="1"/>
  <c r="L13" i="1" s="1"/>
  <c r="M13" i="1" s="1"/>
  <c r="I14" i="1"/>
  <c r="J14" i="1" s="1"/>
  <c r="K14" i="1" s="1"/>
  <c r="L14" i="1" s="1"/>
  <c r="M14" i="1" s="1"/>
  <c r="I15" i="1"/>
  <c r="J15" i="1" s="1"/>
  <c r="K15" i="1" s="1"/>
  <c r="L15" i="1" s="1"/>
  <c r="M15" i="1" s="1"/>
  <c r="I16" i="1"/>
  <c r="J16" i="1" s="1"/>
  <c r="K16" i="1" s="1"/>
  <c r="L16" i="1" s="1"/>
  <c r="M16" i="1" s="1"/>
  <c r="I17" i="1"/>
  <c r="J17" i="1" s="1"/>
  <c r="K17" i="1" s="1"/>
  <c r="L17" i="1" s="1"/>
  <c r="M17" i="1" s="1"/>
  <c r="I18" i="1"/>
  <c r="J18" i="1" s="1"/>
  <c r="K18" i="1" s="1"/>
  <c r="L18" i="1" s="1"/>
  <c r="M18" i="1" s="1"/>
  <c r="I19" i="1"/>
  <c r="J19" i="1" s="1"/>
  <c r="K19" i="1" s="1"/>
  <c r="L19" i="1" s="1"/>
  <c r="M19" i="1" s="1"/>
  <c r="I20" i="1"/>
  <c r="J20" i="1" s="1"/>
  <c r="K20" i="1" s="1"/>
  <c r="L20" i="1" s="1"/>
  <c r="M20" i="1" s="1"/>
  <c r="I21" i="1"/>
  <c r="J21" i="1" s="1"/>
  <c r="K21" i="1" s="1"/>
  <c r="L21" i="1" s="1"/>
  <c r="M21" i="1" s="1"/>
  <c r="I22" i="1"/>
  <c r="J22" i="1" s="1"/>
  <c r="K22" i="1" s="1"/>
  <c r="L22" i="1" s="1"/>
  <c r="M22" i="1" s="1"/>
  <c r="I23" i="1"/>
  <c r="J23" i="1" s="1"/>
  <c r="K23" i="1" s="1"/>
  <c r="L23" i="1" s="1"/>
  <c r="M23" i="1" s="1"/>
  <c r="I24" i="1"/>
  <c r="J24" i="1" s="1"/>
  <c r="K24" i="1" s="1"/>
  <c r="L24" i="1" s="1"/>
  <c r="M24" i="1" s="1"/>
  <c r="I3" i="1"/>
  <c r="J3" i="1" s="1"/>
  <c r="K3" i="1" s="1"/>
  <c r="L3" i="1" s="1"/>
  <c r="M3" i="1" s="1"/>
  <c r="N6" i="2" l="1" a="1"/>
  <c r="N6" i="2" s="1"/>
  <c r="G19" i="2"/>
  <c r="N5" i="2" a="1"/>
  <c r="N5" i="2" s="1"/>
  <c r="H19" i="2" l="1"/>
  <c r="N7" i="2" a="1"/>
  <c r="N7" i="2" s="1"/>
  <c r="I19" i="2" l="1"/>
  <c r="N9" i="2" s="1" a="1"/>
  <c r="N9" i="2" s="1"/>
  <c r="N8" i="2" a="1"/>
  <c r="N8" i="2" s="1"/>
  <c r="M26" i="1"/>
  <c r="L26" i="1"/>
  <c r="K26" i="1"/>
  <c r="J26" i="1"/>
  <c r="I26" i="1"/>
  <c r="H26" i="1"/>
  <c r="M46" i="1"/>
  <c r="L46" i="1"/>
  <c r="K46" i="1"/>
  <c r="J46" i="1"/>
  <c r="I46" i="1"/>
  <c r="H46" i="1"/>
  <c r="M32" i="1"/>
  <c r="L32" i="1"/>
  <c r="K32" i="1"/>
  <c r="J32" i="1"/>
  <c r="I32" i="1"/>
  <c r="H32" i="1"/>
  <c r="M41" i="1"/>
  <c r="L41" i="1"/>
  <c r="K41" i="1"/>
  <c r="J41" i="1"/>
  <c r="I41" i="1"/>
  <c r="H41" i="1"/>
  <c r="M29" i="1"/>
  <c r="L29" i="1"/>
  <c r="K29" i="1"/>
  <c r="J29" i="1"/>
  <c r="I29" i="1"/>
  <c r="H29" i="1"/>
  <c r="M45" i="1"/>
  <c r="L45" i="1"/>
  <c r="K45" i="1"/>
  <c r="J45" i="1"/>
  <c r="I45" i="1"/>
  <c r="H45" i="1"/>
  <c r="H38" i="1"/>
  <c r="I38" i="1"/>
  <c r="J38" i="1"/>
  <c r="K38" i="1"/>
  <c r="L38" i="1"/>
  <c r="M38" i="1"/>
  <c r="M31" i="1"/>
  <c r="L31" i="1"/>
  <c r="K31" i="1"/>
  <c r="H31" i="1"/>
  <c r="I31" i="1"/>
  <c r="J31" i="1"/>
  <c r="M28" i="1"/>
  <c r="L28" i="1"/>
  <c r="K28" i="1"/>
  <c r="H28" i="1"/>
  <c r="I28" i="1"/>
  <c r="J28" i="1"/>
  <c r="M43" i="1"/>
  <c r="L43" i="1"/>
  <c r="K43" i="1"/>
  <c r="J43" i="1"/>
  <c r="I43" i="1"/>
  <c r="H43" i="1"/>
  <c r="H33" i="1"/>
  <c r="I33" i="1"/>
  <c r="J33" i="1"/>
  <c r="K33" i="1"/>
  <c r="L33" i="1"/>
  <c r="M33" i="1"/>
  <c r="M25" i="1"/>
  <c r="H25" i="1"/>
  <c r="I25" i="1"/>
  <c r="J25" i="1"/>
  <c r="K25" i="1"/>
  <c r="L25" i="1"/>
  <c r="M30" i="1"/>
  <c r="H30" i="1"/>
  <c r="I30" i="1"/>
  <c r="J30" i="1"/>
  <c r="K30" i="1"/>
  <c r="L30" i="1"/>
  <c r="M35" i="1"/>
  <c r="H35" i="1"/>
  <c r="I35" i="1"/>
  <c r="J35" i="1"/>
  <c r="K35" i="1"/>
  <c r="L35" i="1"/>
  <c r="M42" i="1"/>
  <c r="H42" i="1"/>
  <c r="I42" i="1"/>
  <c r="J42" i="1"/>
  <c r="K42" i="1"/>
  <c r="L42" i="1"/>
  <c r="H44" i="1"/>
  <c r="I44" i="1"/>
  <c r="J44" i="1"/>
  <c r="K44" i="1"/>
  <c r="L44" i="1"/>
  <c r="M44" i="1"/>
  <c r="H34" i="1"/>
  <c r="I34" i="1"/>
  <c r="J34" i="1"/>
  <c r="K34" i="1"/>
  <c r="L34" i="1"/>
  <c r="M34" i="1"/>
  <c r="H37" i="1"/>
  <c r="I37" i="1"/>
  <c r="J37" i="1"/>
  <c r="K37" i="1"/>
  <c r="L37" i="1"/>
  <c r="M37" i="1"/>
  <c r="H40" i="1"/>
  <c r="I40" i="1"/>
  <c r="J40" i="1"/>
  <c r="K40" i="1"/>
  <c r="L40" i="1"/>
  <c r="M40" i="1"/>
  <c r="H36" i="1"/>
  <c r="I36" i="1"/>
  <c r="J36" i="1"/>
  <c r="K36" i="1"/>
  <c r="L36" i="1"/>
  <c r="M36" i="1"/>
  <c r="H27" i="1"/>
  <c r="I27" i="1"/>
  <c r="J27" i="1"/>
  <c r="K27" i="1"/>
  <c r="L27" i="1"/>
  <c r="M27" i="1"/>
  <c r="H39" i="1"/>
  <c r="I39" i="1"/>
  <c r="J39" i="1"/>
  <c r="K39" i="1"/>
  <c r="L39" i="1"/>
  <c r="M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<sst xmlns="http://schemas.openxmlformats.org/spreadsheetml/2006/main" count="585" uniqueCount="84">
  <si>
    <t>father</t>
  </si>
  <si>
    <t>mother</t>
  </si>
  <si>
    <t>brothe</t>
  </si>
  <si>
    <t>sister</t>
  </si>
  <si>
    <t xml:space="preserve">patgf </t>
  </si>
  <si>
    <t xml:space="preserve">matgf </t>
  </si>
  <si>
    <t xml:space="preserve">patgm </t>
  </si>
  <si>
    <t xml:space="preserve">matgm </t>
  </si>
  <si>
    <t xml:space="preserve">paths </t>
  </si>
  <si>
    <t xml:space="preserve">maths </t>
  </si>
  <si>
    <t xml:space="preserve">patun </t>
  </si>
  <si>
    <t xml:space="preserve">matun </t>
  </si>
  <si>
    <t xml:space="preserve">patau </t>
  </si>
  <si>
    <t xml:space="preserve">matau </t>
  </si>
  <si>
    <t>patcou</t>
  </si>
  <si>
    <t>matcou</t>
  </si>
  <si>
    <t xml:space="preserve">eth_nhwhite </t>
  </si>
  <si>
    <t xml:space="preserve">eth_hisp    </t>
  </si>
  <si>
    <t xml:space="preserve">eth_nhblack </t>
  </si>
  <si>
    <t xml:space="preserve">eth_nhasian </t>
  </si>
  <si>
    <t xml:space="preserve">eth_nhother </t>
  </si>
  <si>
    <t>intercept</t>
  </si>
  <si>
    <t>Column1</t>
  </si>
  <si>
    <t>Column2</t>
  </si>
  <si>
    <t>INTERCEPT</t>
  </si>
  <si>
    <t>Column12</t>
  </si>
  <si>
    <t>Class0</t>
  </si>
  <si>
    <t>Class1</t>
  </si>
  <si>
    <t>Class2</t>
  </si>
  <si>
    <t>Class3</t>
  </si>
  <si>
    <t>Class4</t>
  </si>
  <si>
    <t>Class5</t>
  </si>
  <si>
    <t>label</t>
  </si>
  <si>
    <t>label order</t>
  </si>
  <si>
    <t>female</t>
  </si>
  <si>
    <t>kin02_m,</t>
  </si>
  <si>
    <t>kin03_bro,</t>
  </si>
  <si>
    <t>kin04_sis,</t>
  </si>
  <si>
    <t>kin05_pgf,</t>
  </si>
  <si>
    <t>kin06_mgf,</t>
  </si>
  <si>
    <t>kin07_pgm,</t>
  </si>
  <si>
    <t>kin08_mgm,</t>
  </si>
  <si>
    <t>kin09_phs,</t>
  </si>
  <si>
    <t>kin10_mhs,</t>
  </si>
  <si>
    <t>kin11_pun,</t>
  </si>
  <si>
    <t>kin12_mun,</t>
  </si>
  <si>
    <t>kin13_pau,</t>
  </si>
  <si>
    <t>kin14_mau,</t>
  </si>
  <si>
    <t xml:space="preserve">kin15_pcou, </t>
  </si>
  <si>
    <t xml:space="preserve">kin16_mcou, </t>
  </si>
  <si>
    <t xml:space="preserve">eth2_hisp,   </t>
  </si>
  <si>
    <t>eth3_nhblack,</t>
  </si>
  <si>
    <t>eth4_nhasian,</t>
  </si>
  <si>
    <t>eth5_nhother,</t>
  </si>
  <si>
    <t>female,</t>
  </si>
  <si>
    <t>#</t>
  </si>
  <si>
    <t>BETA_orig</t>
  </si>
  <si>
    <t>BETA_ordered</t>
  </si>
  <si>
    <t>logit_ref</t>
  </si>
  <si>
    <t>Class4 ascending</t>
  </si>
  <si>
    <t>Intercept</t>
  </si>
  <si>
    <t>brother</t>
  </si>
  <si>
    <t>pgf</t>
  </si>
  <si>
    <t>mgf</t>
  </si>
  <si>
    <t>pgm</t>
  </si>
  <si>
    <t>mgm</t>
  </si>
  <si>
    <t>phs</t>
  </si>
  <si>
    <t>mhs</t>
  </si>
  <si>
    <t>pun</t>
  </si>
  <si>
    <t>mun</t>
  </si>
  <si>
    <t>pau</t>
  </si>
  <si>
    <t>mau</t>
  </si>
  <si>
    <t>pcou</t>
  </si>
  <si>
    <t>mcou</t>
  </si>
  <si>
    <t>"C0_</t>
  </si>
  <si>
    <t>",</t>
  </si>
  <si>
    <t xml:space="preserve">eth_hisp   </t>
  </si>
  <si>
    <t>eth_nhblack</t>
  </si>
  <si>
    <t>eth_nhasian</t>
  </si>
  <si>
    <t>eth_nhother</t>
  </si>
  <si>
    <t>"C1_</t>
  </si>
  <si>
    <t>"C2_</t>
  </si>
  <si>
    <t>"C3_</t>
  </si>
  <si>
    <t>"C5_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</si>
</sst>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Fill="1"/>
    <xf numFmtId="0" fontId="2" fillId="0" borderId="0" xfId="0" applyNumberFormat="1" applyFont="1" applyFill="1"/>
    <xf numFmtId="0" fontId="0" fillId="0" borderId="0" xfId="0" applyAlignment="1">
      <alignment horizontal="center"/>
    </xf>
    <xf numFmtId="0" fontId="2" fillId="0" borderId="1" xfId="0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213B67-A721-E145-8BA8-E4F64832D87C}" name="Table3" displayName="Table3" ref="A2:I23" totalsRowShown="0">
  <autoFilter ref="A2:I23" xr:uid="{FA213B67-A721-E145-8BA8-E4F64832D87C}"/>
  <tableColumns count="9">
    <tableColumn id="1" xr3:uid="{804D82AA-9DCA-684F-9E76-767322F3054E}" name="#"/>
    <tableColumn id="2" xr3:uid="{53DDCF8A-402F-CD40-8E33-C1CF599C73D9}" name="BETA_orig" dataDxfId="5"/>
    <tableColumn id="3" xr3:uid="{A744590B-D03C-E045-A035-03A694C84047}" name="BETA_ordered"/>
    <tableColumn id="4" xr3:uid="{7B7BC513-30B7-FC49-BBAA-ABBE36C1D6BD}" name="Class0"/>
    <tableColumn id="5" xr3:uid="{3BBB48D7-0BD5-0548-AC63-F81A30396A1E}" name="Class1" dataDxfId="4">
      <calculatedColumnFormula>Table3[[#This Row],[Class0]]+21</calculatedColumnFormula>
    </tableColumn>
    <tableColumn id="6" xr3:uid="{D202FA3E-6156-044D-8092-3E498D02ADFE}" name="Class2" dataDxfId="3">
      <calculatedColumnFormula>Table3[[#This Row],[Class1]]+21</calculatedColumnFormula>
    </tableColumn>
    <tableColumn id="7" xr3:uid="{0DB08D70-1AB7-8D42-9F53-192DDF913E3F}" name="Class3" dataDxfId="0">
      <calculatedColumnFormula>Table3[[#This Row],[Class2]]+21</calculatedColumnFormula>
    </tableColumn>
    <tableColumn id="8" xr3:uid="{19C9D8E7-F127-B244-BF69-A60C37333F2F}" name="Class4" dataDxfId="2">
      <calculatedColumnFormula>Table3[[#This Row],[Class3]]+21</calculatedColumnFormula>
    </tableColumn>
    <tableColumn id="9" xr3:uid="{94699E41-C852-CB4C-8DB2-1A1AF01044E2}" name="Class5" dataDxfId="1">
      <calculatedColumnFormula>Table3[[#This Row],[Class4]]+21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2EE28-3673-6F41-B82F-E78620A1DBA3}" name="Table1" displayName="Table1" ref="E2:M134" totalsRowShown="0">
  <autoFilter ref="E2:M134" xr:uid="{5272EE28-3673-6F41-B82F-E78620A1DBA3}"/>
  <sortState xmlns:xlrd2="http://schemas.microsoft.com/office/spreadsheetml/2017/richdata2" ref="E3:E24">
    <sortCondition ref="E2:E24"/>
  </sortState>
  <tableColumns count="9">
    <tableColumn id="1" xr3:uid="{5E6CF9AC-FBD8-4846-9937-533A4D52FACB}" name="Column1"/>
    <tableColumn id="3" xr3:uid="{411F84B1-9946-BD46-BE89-E5635B673EC8}" name="Column12" dataDxfId="11"/>
    <tableColumn id="2" xr3:uid="{64B6D5B0-CC0C-8A4A-85B0-4D918410E798}" name="Column2"/>
    <tableColumn id="4" xr3:uid="{E23ACB80-085F-4C4B-BCBC-8D2D811427AA}" name="Class0"/>
    <tableColumn id="5" xr3:uid="{44E0288B-0BF7-4940-B1B3-9ABAF2226AC3}" name="Class1" dataDxfId="10">
      <calculatedColumnFormula>Table1[[#This Row],[Class0]]+22</calculatedColumnFormula>
    </tableColumn>
    <tableColumn id="6" xr3:uid="{2B301867-8BDB-0C4F-9F61-2BD3E73E9FF6}" name="Class2" dataDxfId="9">
      <calculatedColumnFormula>Table1[[#This Row],[Class1]]+22</calculatedColumnFormula>
    </tableColumn>
    <tableColumn id="7" xr3:uid="{19D7CA99-9B41-A045-B949-5168EBED6B96}" name="Class3" dataDxfId="8">
      <calculatedColumnFormula>Table1[[#This Row],[Class2]]+22</calculatedColumnFormula>
    </tableColumn>
    <tableColumn id="8" xr3:uid="{843436E9-49D1-984A-BA7D-8CA121FA567B}" name="Class4" dataDxfId="7">
      <calculatedColumnFormula>Table1[[#This Row],[Class3]]+22</calculatedColumnFormula>
    </tableColumn>
    <tableColumn id="9" xr3:uid="{E3090A51-8E7A-F249-ADD5-D4AA66DCA866}" name="Class5" dataDxfId="6">
      <calculatedColumnFormula>Table1[[#This Row],[Class4]]+22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2DD2-E017-FA4B-998F-E52D5EFE07FD}">
  <dimension ref="A2:FY54"/>
  <sheetViews>
    <sheetView tabSelected="1" zoomScale="106" workbookViewId="0">
      <selection activeCell="K26" sqref="K26"/>
    </sheetView>
  </sheetViews>
  <sheetFormatPr baseColWidth="10" defaultRowHeight="16" x14ac:dyDescent="0.2"/>
  <cols>
    <col min="2" max="3" width="14.5" customWidth="1"/>
    <col min="4" max="4" width="11.33203125" customWidth="1"/>
    <col min="5" max="7" width="14.5" customWidth="1"/>
    <col min="32" max="32" width="5.6640625" customWidth="1"/>
  </cols>
  <sheetData>
    <row r="2" spans="1:181" x14ac:dyDescent="0.2">
      <c r="A2" t="s">
        <v>55</v>
      </c>
      <c r="B2" t="s">
        <v>56</v>
      </c>
      <c r="C2" t="s">
        <v>57</v>
      </c>
      <c r="D2" s="4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</row>
    <row r="3" spans="1:181" x14ac:dyDescent="0.2">
      <c r="A3">
        <v>0</v>
      </c>
      <c r="B3" s="4" t="s">
        <v>50</v>
      </c>
      <c r="C3" s="4" t="s">
        <v>24</v>
      </c>
      <c r="D3" s="4">
        <v>5</v>
      </c>
      <c r="E3" s="4">
        <f>Table3[[#This Row],[Class0]]+21</f>
        <v>26</v>
      </c>
      <c r="F3" s="4">
        <f>Table3[[#This Row],[Class1]]+21</f>
        <v>47</v>
      </c>
      <c r="G3" s="4">
        <f>Table3[[#This Row],[Class2]]+21</f>
        <v>68</v>
      </c>
      <c r="H3" s="5">
        <f>Table3[[#This Row],[Class3]]+21</f>
        <v>89</v>
      </c>
      <c r="I3" s="5">
        <f>Table3[[#This Row],[Class4]]+21</f>
        <v>110</v>
      </c>
    </row>
    <row r="4" spans="1:181" x14ac:dyDescent="0.2">
      <c r="A4">
        <v>1</v>
      </c>
      <c r="B4" s="4" t="s">
        <v>51</v>
      </c>
      <c r="C4" s="4" t="s">
        <v>35</v>
      </c>
      <c r="D4">
        <v>6</v>
      </c>
      <c r="E4" s="4">
        <f>Table3[[#This Row],[Class0]]+21</f>
        <v>27</v>
      </c>
      <c r="F4" s="4">
        <f>Table3[[#This Row],[Class1]]+21</f>
        <v>48</v>
      </c>
      <c r="G4" s="4">
        <f>Table3[[#This Row],[Class2]]+21</f>
        <v>69</v>
      </c>
      <c r="H4" s="5">
        <f>Table3[[#This Row],[Class3]]+21</f>
        <v>90</v>
      </c>
      <c r="I4" s="5">
        <f>Table3[[#This Row],[Class4]]+21</f>
        <v>111</v>
      </c>
      <c r="M4" t="s">
        <v>26</v>
      </c>
      <c r="N4" cm="1">
        <f t="array" ref="N4:AH4">TRANSPOSE(Table3[Class0])</f>
        <v>5</v>
      </c>
      <c r="O4">
        <v>6</v>
      </c>
      <c r="P4">
        <v>7</v>
      </c>
      <c r="Q4">
        <v>8</v>
      </c>
      <c r="R4">
        <v>9</v>
      </c>
      <c r="S4">
        <v>10</v>
      </c>
      <c r="T4">
        <v>11</v>
      </c>
      <c r="U4">
        <v>12</v>
      </c>
      <c r="V4">
        <v>13</v>
      </c>
      <c r="W4">
        <v>14</v>
      </c>
      <c r="X4">
        <v>15</v>
      </c>
      <c r="Y4">
        <v>16</v>
      </c>
      <c r="Z4">
        <v>17</v>
      </c>
      <c r="AA4">
        <v>18</v>
      </c>
      <c r="AB4">
        <v>19</v>
      </c>
      <c r="AC4">
        <v>20</v>
      </c>
      <c r="AD4">
        <v>0</v>
      </c>
      <c r="AE4">
        <v>1</v>
      </c>
      <c r="AF4">
        <v>2</v>
      </c>
      <c r="AG4">
        <v>3</v>
      </c>
      <c r="AH4">
        <v>4</v>
      </c>
    </row>
    <row r="5" spans="1:181" x14ac:dyDescent="0.2">
      <c r="A5">
        <v>2</v>
      </c>
      <c r="B5" s="4" t="s">
        <v>52</v>
      </c>
      <c r="C5" s="4" t="s">
        <v>36</v>
      </c>
      <c r="D5">
        <v>7</v>
      </c>
      <c r="E5" s="4">
        <f>Table3[[#This Row],[Class0]]+21</f>
        <v>28</v>
      </c>
      <c r="F5" s="4">
        <f>Table3[[#This Row],[Class1]]+21</f>
        <v>49</v>
      </c>
      <c r="G5" s="4">
        <f>Table3[[#This Row],[Class2]]+21</f>
        <v>70</v>
      </c>
      <c r="H5" s="5">
        <f>Table3[[#This Row],[Class3]]+21</f>
        <v>91</v>
      </c>
      <c r="I5" s="5">
        <f>Table3[[#This Row],[Class4]]+21</f>
        <v>112</v>
      </c>
      <c r="M5" t="s">
        <v>27</v>
      </c>
      <c r="N5" cm="1">
        <f t="array" ref="N5:AH5">TRANSPOSE(Table3[Class1])</f>
        <v>26</v>
      </c>
      <c r="O5">
        <v>27</v>
      </c>
      <c r="P5">
        <v>28</v>
      </c>
      <c r="Q5">
        <v>29</v>
      </c>
      <c r="R5">
        <v>30</v>
      </c>
      <c r="S5">
        <v>31</v>
      </c>
      <c r="T5">
        <v>32</v>
      </c>
      <c r="U5">
        <v>33</v>
      </c>
      <c r="V5">
        <v>34</v>
      </c>
      <c r="W5">
        <v>35</v>
      </c>
      <c r="X5">
        <v>36</v>
      </c>
      <c r="Y5">
        <v>37</v>
      </c>
      <c r="Z5">
        <v>38</v>
      </c>
      <c r="AA5">
        <v>39</v>
      </c>
      <c r="AB5">
        <v>40</v>
      </c>
      <c r="AC5">
        <v>41</v>
      </c>
      <c r="AD5">
        <v>21</v>
      </c>
      <c r="AE5">
        <v>22</v>
      </c>
      <c r="AF5">
        <v>23</v>
      </c>
      <c r="AG5">
        <v>24</v>
      </c>
      <c r="AH5">
        <v>25</v>
      </c>
    </row>
    <row r="6" spans="1:181" x14ac:dyDescent="0.2">
      <c r="A6">
        <v>3</v>
      </c>
      <c r="B6" s="4" t="s">
        <v>53</v>
      </c>
      <c r="C6" s="4" t="s">
        <v>37</v>
      </c>
      <c r="D6">
        <v>8</v>
      </c>
      <c r="E6" s="4">
        <f>Table3[[#This Row],[Class0]]+21</f>
        <v>29</v>
      </c>
      <c r="F6" s="4">
        <f>Table3[[#This Row],[Class1]]+21</f>
        <v>50</v>
      </c>
      <c r="G6" s="4">
        <f>Table3[[#This Row],[Class2]]+21</f>
        <v>71</v>
      </c>
      <c r="H6" s="5">
        <f>Table3[[#This Row],[Class3]]+21</f>
        <v>92</v>
      </c>
      <c r="I6" s="5">
        <f>Table3[[#This Row],[Class4]]+21</f>
        <v>113</v>
      </c>
      <c r="M6" t="s">
        <v>28</v>
      </c>
      <c r="N6" cm="1">
        <f t="array" ref="N6:AH6">TRANSPOSE(Table3[Class2])</f>
        <v>47</v>
      </c>
      <c r="O6">
        <v>48</v>
      </c>
      <c r="P6">
        <v>49</v>
      </c>
      <c r="Q6">
        <v>50</v>
      </c>
      <c r="R6">
        <v>51</v>
      </c>
      <c r="S6">
        <v>52</v>
      </c>
      <c r="T6">
        <v>53</v>
      </c>
      <c r="U6">
        <v>54</v>
      </c>
      <c r="V6">
        <v>55</v>
      </c>
      <c r="W6">
        <v>56</v>
      </c>
      <c r="X6">
        <v>57</v>
      </c>
      <c r="Y6">
        <v>58</v>
      </c>
      <c r="Z6">
        <v>59</v>
      </c>
      <c r="AA6">
        <v>60</v>
      </c>
      <c r="AB6">
        <v>61</v>
      </c>
      <c r="AC6">
        <v>62</v>
      </c>
      <c r="AD6">
        <v>42</v>
      </c>
      <c r="AE6">
        <v>43</v>
      </c>
      <c r="AF6">
        <v>44</v>
      </c>
      <c r="AG6">
        <v>45</v>
      </c>
      <c r="AH6">
        <v>46</v>
      </c>
    </row>
    <row r="7" spans="1:181" x14ac:dyDescent="0.2">
      <c r="A7">
        <v>4</v>
      </c>
      <c r="B7" s="4" t="s">
        <v>54</v>
      </c>
      <c r="C7" s="4" t="s">
        <v>38</v>
      </c>
      <c r="D7">
        <v>9</v>
      </c>
      <c r="E7" s="4">
        <f>Table3[[#This Row],[Class0]]+21</f>
        <v>30</v>
      </c>
      <c r="F7" s="4">
        <f>Table3[[#This Row],[Class1]]+21</f>
        <v>51</v>
      </c>
      <c r="G7" s="4">
        <f>Table3[[#This Row],[Class2]]+21</f>
        <v>72</v>
      </c>
      <c r="H7" s="5">
        <f>Table3[[#This Row],[Class3]]+21</f>
        <v>93</v>
      </c>
      <c r="I7" s="5">
        <f>Table3[[#This Row],[Class4]]+21</f>
        <v>114</v>
      </c>
      <c r="M7" t="s">
        <v>29</v>
      </c>
      <c r="N7" cm="1">
        <f t="array" ref="N7:AH7">TRANSPOSE(Table3[Class3])</f>
        <v>68</v>
      </c>
      <c r="O7">
        <v>69</v>
      </c>
      <c r="P7">
        <v>70</v>
      </c>
      <c r="Q7">
        <v>71</v>
      </c>
      <c r="R7">
        <v>72</v>
      </c>
      <c r="S7">
        <v>73</v>
      </c>
      <c r="T7">
        <v>74</v>
      </c>
      <c r="U7">
        <v>75</v>
      </c>
      <c r="V7">
        <v>76</v>
      </c>
      <c r="W7">
        <v>77</v>
      </c>
      <c r="X7">
        <v>78</v>
      </c>
      <c r="Y7">
        <v>79</v>
      </c>
      <c r="Z7">
        <v>80</v>
      </c>
      <c r="AA7">
        <v>81</v>
      </c>
      <c r="AB7">
        <v>82</v>
      </c>
      <c r="AC7">
        <v>83</v>
      </c>
      <c r="AD7">
        <v>63</v>
      </c>
      <c r="AE7">
        <v>64</v>
      </c>
      <c r="AF7">
        <v>65</v>
      </c>
      <c r="AG7">
        <v>66</v>
      </c>
      <c r="AH7">
        <v>67</v>
      </c>
    </row>
    <row r="8" spans="1:181" x14ac:dyDescent="0.2">
      <c r="A8">
        <v>5</v>
      </c>
      <c r="B8" s="4" t="s">
        <v>24</v>
      </c>
      <c r="C8" s="4" t="s">
        <v>39</v>
      </c>
      <c r="D8">
        <v>10</v>
      </c>
      <c r="E8" s="4">
        <f>Table3[[#This Row],[Class0]]+21</f>
        <v>31</v>
      </c>
      <c r="F8" s="4">
        <f>Table3[[#This Row],[Class1]]+21</f>
        <v>52</v>
      </c>
      <c r="G8" s="4">
        <f>Table3[[#This Row],[Class2]]+21</f>
        <v>73</v>
      </c>
      <c r="H8" s="5">
        <f>Table3[[#This Row],[Class3]]+21</f>
        <v>94</v>
      </c>
      <c r="I8" s="5">
        <f>Table3[[#This Row],[Class4]]+21</f>
        <v>115</v>
      </c>
      <c r="M8" t="s">
        <v>30</v>
      </c>
      <c r="N8" cm="1">
        <f t="array" ref="N8:AH8">TRANSPOSE(Table3[Class4])</f>
        <v>89</v>
      </c>
      <c r="O8">
        <v>90</v>
      </c>
      <c r="P8">
        <v>91</v>
      </c>
      <c r="Q8">
        <v>92</v>
      </c>
      <c r="R8">
        <v>93</v>
      </c>
      <c r="S8">
        <v>94</v>
      </c>
      <c r="T8">
        <v>95</v>
      </c>
      <c r="U8">
        <v>96</v>
      </c>
      <c r="V8">
        <v>97</v>
      </c>
      <c r="W8">
        <v>98</v>
      </c>
      <c r="X8">
        <v>99</v>
      </c>
      <c r="Y8">
        <v>100</v>
      </c>
      <c r="Z8">
        <v>101</v>
      </c>
      <c r="AA8">
        <v>102</v>
      </c>
      <c r="AB8">
        <v>103</v>
      </c>
      <c r="AC8">
        <v>104</v>
      </c>
      <c r="AD8">
        <v>84</v>
      </c>
      <c r="AE8">
        <v>85</v>
      </c>
      <c r="AF8">
        <v>86</v>
      </c>
      <c r="AG8">
        <v>87</v>
      </c>
      <c r="AH8">
        <v>88</v>
      </c>
    </row>
    <row r="9" spans="1:181" x14ac:dyDescent="0.2">
      <c r="A9">
        <v>6</v>
      </c>
      <c r="B9" s="4" t="s">
        <v>35</v>
      </c>
      <c r="C9" s="4" t="s">
        <v>40</v>
      </c>
      <c r="D9">
        <v>11</v>
      </c>
      <c r="E9" s="4">
        <f>Table3[[#This Row],[Class0]]+21</f>
        <v>32</v>
      </c>
      <c r="F9" s="4">
        <f>Table3[[#This Row],[Class1]]+21</f>
        <v>53</v>
      </c>
      <c r="G9" s="4">
        <f>Table3[[#This Row],[Class2]]+21</f>
        <v>74</v>
      </c>
      <c r="H9" s="5">
        <f>Table3[[#This Row],[Class3]]+21</f>
        <v>95</v>
      </c>
      <c r="I9" s="5">
        <f>Table3[[#This Row],[Class4]]+21</f>
        <v>116</v>
      </c>
      <c r="M9" t="s">
        <v>31</v>
      </c>
      <c r="N9" cm="1">
        <f t="array" ref="N9:AH9">TRANSPOSE(Table3[Class5])</f>
        <v>110</v>
      </c>
      <c r="O9">
        <v>111</v>
      </c>
      <c r="P9">
        <v>112</v>
      </c>
      <c r="Q9">
        <v>113</v>
      </c>
      <c r="R9">
        <v>114</v>
      </c>
      <c r="S9">
        <v>115</v>
      </c>
      <c r="T9">
        <v>116</v>
      </c>
      <c r="U9">
        <v>117</v>
      </c>
      <c r="V9">
        <v>118</v>
      </c>
      <c r="W9">
        <v>119</v>
      </c>
      <c r="X9">
        <v>120</v>
      </c>
      <c r="Y9">
        <v>121</v>
      </c>
      <c r="Z9">
        <v>122</v>
      </c>
      <c r="AA9">
        <v>123</v>
      </c>
      <c r="AB9">
        <v>124</v>
      </c>
      <c r="AC9">
        <v>125</v>
      </c>
      <c r="AD9">
        <v>105</v>
      </c>
      <c r="AE9">
        <v>106</v>
      </c>
      <c r="AF9">
        <v>107</v>
      </c>
      <c r="AG9">
        <v>108</v>
      </c>
      <c r="AH9">
        <v>109</v>
      </c>
    </row>
    <row r="10" spans="1:181" x14ac:dyDescent="0.2">
      <c r="A10">
        <v>7</v>
      </c>
      <c r="B10" s="4" t="s">
        <v>36</v>
      </c>
      <c r="C10" s="4" t="s">
        <v>41</v>
      </c>
      <c r="D10">
        <v>12</v>
      </c>
      <c r="E10" s="4">
        <f>Table3[[#This Row],[Class0]]+21</f>
        <v>33</v>
      </c>
      <c r="F10" s="4">
        <f>Table3[[#This Row],[Class1]]+21</f>
        <v>54</v>
      </c>
      <c r="G10" s="4">
        <f>Table3[[#This Row],[Class2]]+21</f>
        <v>75</v>
      </c>
      <c r="H10" s="5">
        <f>Table3[[#This Row],[Class3]]+21</f>
        <v>96</v>
      </c>
      <c r="I10" s="5">
        <f>Table3[[#This Row],[Class4]]+21</f>
        <v>117</v>
      </c>
    </row>
    <row r="11" spans="1:181" x14ac:dyDescent="0.2">
      <c r="A11">
        <v>8</v>
      </c>
      <c r="B11" s="4" t="s">
        <v>37</v>
      </c>
      <c r="C11" s="4" t="s">
        <v>42</v>
      </c>
      <c r="D11">
        <v>13</v>
      </c>
      <c r="E11" s="4">
        <f>Table3[[#This Row],[Class0]]+21</f>
        <v>34</v>
      </c>
      <c r="F11" s="4">
        <f>Table3[[#This Row],[Class1]]+21</f>
        <v>55</v>
      </c>
      <c r="G11" s="4">
        <f>Table3[[#This Row],[Class2]]+21</f>
        <v>76</v>
      </c>
      <c r="H11" s="5">
        <f>Table3[[#This Row],[Class3]]+21</f>
        <v>97</v>
      </c>
      <c r="I11" s="5">
        <f>Table3[[#This Row],[Class4]]+21</f>
        <v>118</v>
      </c>
      <c r="N11" s="6" t="s">
        <v>26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 t="s">
        <v>27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 t="s">
        <v>28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 t="s">
        <v>29</v>
      </c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 t="s">
        <v>30</v>
      </c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 t="s">
        <v>31</v>
      </c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</row>
    <row r="12" spans="1:181" x14ac:dyDescent="0.2">
      <c r="A12">
        <v>9</v>
      </c>
      <c r="B12" s="4" t="s">
        <v>38</v>
      </c>
      <c r="C12" s="4" t="s">
        <v>43</v>
      </c>
      <c r="D12">
        <v>14</v>
      </c>
      <c r="E12" s="4">
        <f>Table3[[#This Row],[Class0]]+21</f>
        <v>35</v>
      </c>
      <c r="F12" s="4">
        <f>Table3[[#This Row],[Class1]]+21</f>
        <v>56</v>
      </c>
      <c r="G12" s="4">
        <f>Table3[[#This Row],[Class2]]+21</f>
        <v>77</v>
      </c>
      <c r="H12" s="5">
        <f>Table3[[#This Row],[Class3]]+21</f>
        <v>98</v>
      </c>
      <c r="I12" s="5">
        <f>Table3[[#This Row],[Class4]]+21</f>
        <v>119</v>
      </c>
      <c r="M12" t="s">
        <v>33</v>
      </c>
      <c r="N12">
        <v>0</v>
      </c>
      <c r="O12">
        <v>1</v>
      </c>
      <c r="P12">
        <v>2</v>
      </c>
      <c r="Q12">
        <v>3</v>
      </c>
      <c r="R12">
        <v>4</v>
      </c>
      <c r="S12">
        <v>5</v>
      </c>
      <c r="T12">
        <v>6</v>
      </c>
      <c r="U12">
        <v>7</v>
      </c>
      <c r="V12">
        <v>8</v>
      </c>
      <c r="W12">
        <v>9</v>
      </c>
      <c r="X12">
        <v>10</v>
      </c>
      <c r="Y12">
        <v>11</v>
      </c>
      <c r="Z12">
        <v>12</v>
      </c>
      <c r="AA12">
        <v>13</v>
      </c>
      <c r="AB12">
        <v>14</v>
      </c>
      <c r="AC12">
        <v>15</v>
      </c>
      <c r="AD12">
        <v>16</v>
      </c>
      <c r="AE12">
        <v>17</v>
      </c>
      <c r="AF12">
        <v>18</v>
      </c>
      <c r="AG12">
        <v>19</v>
      </c>
      <c r="AH12">
        <v>20</v>
      </c>
      <c r="AI12">
        <v>21</v>
      </c>
      <c r="AJ12">
        <v>22</v>
      </c>
      <c r="AK12">
        <v>23</v>
      </c>
      <c r="AL12">
        <v>24</v>
      </c>
      <c r="AM12">
        <v>25</v>
      </c>
      <c r="AN12">
        <v>26</v>
      </c>
      <c r="AO12">
        <v>27</v>
      </c>
      <c r="AP12">
        <v>28</v>
      </c>
      <c r="AQ12">
        <v>29</v>
      </c>
      <c r="AR12">
        <v>30</v>
      </c>
      <c r="AS12">
        <v>31</v>
      </c>
      <c r="AT12">
        <v>32</v>
      </c>
      <c r="AU12">
        <v>33</v>
      </c>
      <c r="AV12">
        <v>34</v>
      </c>
      <c r="AW12">
        <v>35</v>
      </c>
      <c r="AX12">
        <v>36</v>
      </c>
      <c r="AY12">
        <v>37</v>
      </c>
      <c r="AZ12">
        <v>38</v>
      </c>
      <c r="BA12">
        <v>39</v>
      </c>
      <c r="BB12">
        <v>40</v>
      </c>
      <c r="BC12">
        <v>41</v>
      </c>
      <c r="BD12">
        <v>42</v>
      </c>
      <c r="BE12">
        <v>43</v>
      </c>
      <c r="BF12">
        <v>44</v>
      </c>
      <c r="BG12">
        <v>45</v>
      </c>
      <c r="BH12">
        <v>46</v>
      </c>
      <c r="BI12">
        <v>47</v>
      </c>
      <c r="BJ12">
        <v>48</v>
      </c>
      <c r="BK12">
        <v>49</v>
      </c>
      <c r="BL12">
        <v>50</v>
      </c>
      <c r="BM12">
        <v>51</v>
      </c>
      <c r="BN12">
        <v>52</v>
      </c>
      <c r="BO12">
        <v>53</v>
      </c>
      <c r="BP12">
        <v>54</v>
      </c>
      <c r="BQ12">
        <v>55</v>
      </c>
      <c r="BR12">
        <v>56</v>
      </c>
      <c r="BS12">
        <v>57</v>
      </c>
      <c r="BT12">
        <v>58</v>
      </c>
      <c r="BU12">
        <v>59</v>
      </c>
      <c r="BV12">
        <v>60</v>
      </c>
      <c r="BW12">
        <v>61</v>
      </c>
      <c r="BX12">
        <v>62</v>
      </c>
      <c r="BY12">
        <v>63</v>
      </c>
      <c r="BZ12">
        <v>64</v>
      </c>
      <c r="CA12">
        <v>65</v>
      </c>
      <c r="CB12">
        <v>66</v>
      </c>
      <c r="CC12">
        <v>67</v>
      </c>
      <c r="CD12">
        <v>68</v>
      </c>
      <c r="CE12">
        <v>69</v>
      </c>
      <c r="CF12">
        <v>70</v>
      </c>
      <c r="CG12">
        <v>71</v>
      </c>
      <c r="CH12">
        <v>72</v>
      </c>
      <c r="CI12">
        <v>73</v>
      </c>
      <c r="CJ12">
        <v>74</v>
      </c>
      <c r="CK12">
        <v>75</v>
      </c>
      <c r="CL12">
        <v>76</v>
      </c>
      <c r="CM12">
        <v>77</v>
      </c>
      <c r="CN12">
        <v>78</v>
      </c>
      <c r="CO12">
        <v>79</v>
      </c>
      <c r="CP12">
        <v>80</v>
      </c>
      <c r="CQ12">
        <v>81</v>
      </c>
      <c r="CR12">
        <v>82</v>
      </c>
      <c r="CS12">
        <v>83</v>
      </c>
      <c r="CT12">
        <v>84</v>
      </c>
      <c r="CU12">
        <v>85</v>
      </c>
      <c r="CV12">
        <v>86</v>
      </c>
      <c r="CW12">
        <v>87</v>
      </c>
      <c r="CX12">
        <v>88</v>
      </c>
      <c r="CY12">
        <v>89</v>
      </c>
      <c r="CZ12">
        <v>90</v>
      </c>
      <c r="DA12">
        <v>91</v>
      </c>
      <c r="DB12">
        <v>92</v>
      </c>
      <c r="DC12">
        <v>93</v>
      </c>
      <c r="DD12">
        <v>94</v>
      </c>
      <c r="DE12">
        <v>95</v>
      </c>
      <c r="DF12">
        <v>96</v>
      </c>
      <c r="DG12">
        <v>97</v>
      </c>
      <c r="DH12">
        <v>98</v>
      </c>
      <c r="DI12">
        <v>99</v>
      </c>
      <c r="DJ12">
        <v>100</v>
      </c>
      <c r="DK12">
        <v>101</v>
      </c>
      <c r="DL12">
        <v>102</v>
      </c>
      <c r="DM12">
        <v>103</v>
      </c>
      <c r="DN12">
        <v>104</v>
      </c>
      <c r="DO12">
        <v>105</v>
      </c>
      <c r="DP12">
        <v>106</v>
      </c>
      <c r="DQ12">
        <v>107</v>
      </c>
      <c r="DR12">
        <v>108</v>
      </c>
      <c r="DS12">
        <v>109</v>
      </c>
      <c r="DT12">
        <v>110</v>
      </c>
      <c r="DU12">
        <v>111</v>
      </c>
      <c r="DV12">
        <v>112</v>
      </c>
      <c r="DW12">
        <v>113</v>
      </c>
      <c r="DX12">
        <v>114</v>
      </c>
      <c r="DY12">
        <v>115</v>
      </c>
      <c r="DZ12">
        <v>116</v>
      </c>
      <c r="EA12">
        <v>117</v>
      </c>
      <c r="EB12">
        <v>118</v>
      </c>
      <c r="EC12">
        <v>119</v>
      </c>
      <c r="ED12">
        <v>120</v>
      </c>
      <c r="EE12">
        <v>121</v>
      </c>
      <c r="EF12">
        <v>122</v>
      </c>
      <c r="EG12">
        <v>123</v>
      </c>
      <c r="EH12">
        <v>124</v>
      </c>
      <c r="EI12">
        <v>125</v>
      </c>
    </row>
    <row r="13" spans="1:181" x14ac:dyDescent="0.2">
      <c r="A13">
        <v>10</v>
      </c>
      <c r="B13" s="4" t="s">
        <v>39</v>
      </c>
      <c r="C13" s="4" t="s">
        <v>44</v>
      </c>
      <c r="D13">
        <v>15</v>
      </c>
      <c r="E13" s="4">
        <f>Table3[[#This Row],[Class0]]+21</f>
        <v>36</v>
      </c>
      <c r="F13" s="4">
        <f>Table3[[#This Row],[Class1]]+21</f>
        <v>57</v>
      </c>
      <c r="G13" s="4">
        <f>Table3[[#This Row],[Class2]]+21</f>
        <v>78</v>
      </c>
      <c r="H13" s="5">
        <f>Table3[[#This Row],[Class3]]+21</f>
        <v>99</v>
      </c>
      <c r="I13" s="5">
        <f>Table3[[#This Row],[Class4]]+21</f>
        <v>120</v>
      </c>
    </row>
    <row r="14" spans="1:181" x14ac:dyDescent="0.2">
      <c r="A14">
        <v>11</v>
      </c>
      <c r="B14" s="4" t="s">
        <v>40</v>
      </c>
      <c r="C14" s="4" t="s">
        <v>45</v>
      </c>
      <c r="D14">
        <v>16</v>
      </c>
      <c r="E14" s="4">
        <f>Table3[[#This Row],[Class0]]+21</f>
        <v>37</v>
      </c>
      <c r="F14" s="4">
        <f>Table3[[#This Row],[Class1]]+21</f>
        <v>58</v>
      </c>
      <c r="G14" s="4">
        <f>Table3[[#This Row],[Class2]]+21</f>
        <v>79</v>
      </c>
      <c r="H14" s="5">
        <f>Table3[[#This Row],[Class3]]+21</f>
        <v>100</v>
      </c>
      <c r="I14" s="5">
        <f>Table3[[#This Row],[Class4]]+21</f>
        <v>121</v>
      </c>
      <c r="M14" t="s">
        <v>32</v>
      </c>
      <c r="N14" t="str" cm="1">
        <f t="array" ref="N14:AH14">TRANSPOSE(Table3[BETA_ordered])</f>
        <v>INTERCEPT</v>
      </c>
      <c r="O14" t="str">
        <v>kin02_m,</v>
      </c>
      <c r="P14" t="str">
        <v>kin03_bro,</v>
      </c>
      <c r="Q14" t="str">
        <v>kin04_sis,</v>
      </c>
      <c r="R14" t="str">
        <v>kin05_pgf,</v>
      </c>
      <c r="S14" t="str">
        <v>kin06_mgf,</v>
      </c>
      <c r="T14" t="str">
        <v>kin07_pgm,</v>
      </c>
      <c r="U14" t="str">
        <v>kin08_mgm,</v>
      </c>
      <c r="V14" t="str">
        <v>kin09_phs,</v>
      </c>
      <c r="W14" t="str">
        <v>kin10_mhs,</v>
      </c>
      <c r="X14" t="str">
        <v>kin11_pun,</v>
      </c>
      <c r="Y14" t="str">
        <v>kin12_mun,</v>
      </c>
      <c r="Z14" t="str">
        <v>kin13_pau,</v>
      </c>
      <c r="AA14" t="str">
        <v>kin14_mau,</v>
      </c>
      <c r="AB14" t="str">
        <v xml:space="preserve">kin15_pcou, </v>
      </c>
      <c r="AC14" t="str">
        <v xml:space="preserve">kin16_mcou, </v>
      </c>
      <c r="AD14" t="str">
        <v xml:space="preserve">eth2_hisp,   </v>
      </c>
      <c r="AE14" t="str">
        <v>eth3_nhblack,</v>
      </c>
      <c r="AF14" t="str">
        <v>eth4_nhasian,</v>
      </c>
      <c r="AG14" t="str">
        <v>eth5_nhother,</v>
      </c>
      <c r="AH14" t="str">
        <v>female,</v>
      </c>
    </row>
    <row r="15" spans="1:181" x14ac:dyDescent="0.2">
      <c r="A15">
        <v>12</v>
      </c>
      <c r="B15" s="4" t="s">
        <v>41</v>
      </c>
      <c r="C15" s="4" t="s">
        <v>46</v>
      </c>
      <c r="D15">
        <v>17</v>
      </c>
      <c r="E15" s="4">
        <f>Table3[[#This Row],[Class0]]+21</f>
        <v>38</v>
      </c>
      <c r="F15" s="4">
        <f>Table3[[#This Row],[Class1]]+21</f>
        <v>59</v>
      </c>
      <c r="G15" s="4">
        <f>Table3[[#This Row],[Class2]]+21</f>
        <v>80</v>
      </c>
      <c r="H15" s="5">
        <f>Table3[[#This Row],[Class3]]+21</f>
        <v>101</v>
      </c>
      <c r="I15" s="5">
        <f>Table3[[#This Row],[Class4]]+21</f>
        <v>122</v>
      </c>
    </row>
    <row r="16" spans="1:181" x14ac:dyDescent="0.2">
      <c r="A16">
        <v>13</v>
      </c>
      <c r="B16" s="4" t="s">
        <v>42</v>
      </c>
      <c r="C16" s="4" t="s">
        <v>47</v>
      </c>
      <c r="D16">
        <v>18</v>
      </c>
      <c r="E16" s="4">
        <f>Table3[[#This Row],[Class0]]+21</f>
        <v>39</v>
      </c>
      <c r="F16" s="4">
        <f>Table3[[#This Row],[Class1]]+21</f>
        <v>60</v>
      </c>
      <c r="G16" s="4">
        <f>Table3[[#This Row],[Class2]]+21</f>
        <v>81</v>
      </c>
      <c r="H16" s="5">
        <f>Table3[[#This Row],[Class3]]+21</f>
        <v>102</v>
      </c>
      <c r="I16" s="5">
        <f>Table3[[#This Row],[Class4]]+21</f>
        <v>123</v>
      </c>
    </row>
    <row r="17" spans="1:20" x14ac:dyDescent="0.2">
      <c r="A17">
        <v>14</v>
      </c>
      <c r="B17" s="4" t="s">
        <v>43</v>
      </c>
      <c r="C17" s="4" t="s">
        <v>48</v>
      </c>
      <c r="D17">
        <v>19</v>
      </c>
      <c r="E17" s="4">
        <f>Table3[[#This Row],[Class0]]+21</f>
        <v>40</v>
      </c>
      <c r="F17" s="4">
        <f>Table3[[#This Row],[Class1]]+21</f>
        <v>61</v>
      </c>
      <c r="G17" s="4">
        <f>Table3[[#This Row],[Class2]]+21</f>
        <v>82</v>
      </c>
      <c r="H17" s="5">
        <f>Table3[[#This Row],[Class3]]+21</f>
        <v>103</v>
      </c>
      <c r="I17" s="5">
        <f>Table3[[#This Row],[Class4]]+21</f>
        <v>124</v>
      </c>
      <c r="M17" t="s">
        <v>58</v>
      </c>
      <c r="N17" t="s">
        <v>59</v>
      </c>
    </row>
    <row r="18" spans="1:20" x14ac:dyDescent="0.2">
      <c r="A18">
        <v>15</v>
      </c>
      <c r="B18" s="4" t="s">
        <v>44</v>
      </c>
      <c r="C18" s="4" t="s">
        <v>49</v>
      </c>
      <c r="D18">
        <v>20</v>
      </c>
      <c r="E18" s="4">
        <f>Table3[[#This Row],[Class0]]+21</f>
        <v>41</v>
      </c>
      <c r="F18" s="4">
        <f>Table3[[#This Row],[Class1]]+21</f>
        <v>62</v>
      </c>
      <c r="G18" s="4">
        <f>Table3[[#This Row],[Class2]]+21</f>
        <v>83</v>
      </c>
      <c r="H18" s="5">
        <f>Table3[[#This Row],[Class3]]+21</f>
        <v>104</v>
      </c>
      <c r="I18" s="5">
        <f>Table3[[#This Row],[Class4]]+21</f>
        <v>125</v>
      </c>
    </row>
    <row r="19" spans="1:20" x14ac:dyDescent="0.2">
      <c r="A19">
        <v>16</v>
      </c>
      <c r="B19" s="4" t="s">
        <v>45</v>
      </c>
      <c r="C19" s="4" t="s">
        <v>50</v>
      </c>
      <c r="D19">
        <v>0</v>
      </c>
      <c r="E19" s="4">
        <f>Table3[[#This Row],[Class0]]+21</f>
        <v>21</v>
      </c>
      <c r="F19" s="4">
        <f>Table3[[#This Row],[Class1]]+21</f>
        <v>42</v>
      </c>
      <c r="G19" s="4">
        <f>Table3[[#This Row],[Class2]]+21</f>
        <v>63</v>
      </c>
      <c r="H19" s="5">
        <f>Table3[[#This Row],[Class3]]+21</f>
        <v>84</v>
      </c>
      <c r="I19" s="5">
        <f>Table3[[#This Row],[Class4]]+21</f>
        <v>105</v>
      </c>
    </row>
    <row r="20" spans="1:20" x14ac:dyDescent="0.2">
      <c r="A20">
        <v>17</v>
      </c>
      <c r="B20" s="4" t="s">
        <v>46</v>
      </c>
      <c r="C20" s="4" t="s">
        <v>51</v>
      </c>
      <c r="D20">
        <v>1</v>
      </c>
      <c r="E20" s="4">
        <f>Table3[[#This Row],[Class0]]+21</f>
        <v>22</v>
      </c>
      <c r="F20" s="4">
        <f>Table3[[#This Row],[Class1]]+21</f>
        <v>43</v>
      </c>
      <c r="G20" s="4">
        <f>Table3[[#This Row],[Class2]]+21</f>
        <v>64</v>
      </c>
      <c r="H20" s="5">
        <f>Table3[[#This Row],[Class3]]+21</f>
        <v>85</v>
      </c>
      <c r="I20" s="5">
        <f>Table3[[#This Row],[Class4]]+21</f>
        <v>106</v>
      </c>
    </row>
    <row r="21" spans="1:20" x14ac:dyDescent="0.2">
      <c r="A21">
        <v>18</v>
      </c>
      <c r="B21" s="4" t="s">
        <v>47</v>
      </c>
      <c r="C21" s="4" t="s">
        <v>52</v>
      </c>
      <c r="D21">
        <v>2</v>
      </c>
      <c r="E21" s="4">
        <f>Table3[[#This Row],[Class0]]+21</f>
        <v>23</v>
      </c>
      <c r="F21" s="4">
        <f>Table3[[#This Row],[Class1]]+21</f>
        <v>44</v>
      </c>
      <c r="G21" s="4">
        <f>Table3[[#This Row],[Class2]]+21</f>
        <v>65</v>
      </c>
      <c r="H21" s="5">
        <f>Table3[[#This Row],[Class3]]+21</f>
        <v>86</v>
      </c>
      <c r="I21" s="5">
        <f>Table3[[#This Row],[Class4]]+21</f>
        <v>107</v>
      </c>
    </row>
    <row r="22" spans="1:20" x14ac:dyDescent="0.2">
      <c r="A22">
        <v>19</v>
      </c>
      <c r="B22" s="4" t="s">
        <v>48</v>
      </c>
      <c r="C22" s="4" t="s">
        <v>53</v>
      </c>
      <c r="D22">
        <v>3</v>
      </c>
      <c r="E22" s="4">
        <f>Table3[[#This Row],[Class0]]+21</f>
        <v>24</v>
      </c>
      <c r="F22" s="4">
        <f>Table3[[#This Row],[Class1]]+21</f>
        <v>45</v>
      </c>
      <c r="G22" s="4">
        <f>Table3[[#This Row],[Class2]]+21</f>
        <v>66</v>
      </c>
      <c r="H22" s="5">
        <f>Table3[[#This Row],[Class3]]+21</f>
        <v>87</v>
      </c>
      <c r="I22" s="5">
        <f>Table3[[#This Row],[Class4]]+21</f>
        <v>108</v>
      </c>
    </row>
    <row r="23" spans="1:20" x14ac:dyDescent="0.2">
      <c r="A23">
        <v>20</v>
      </c>
      <c r="B23" s="4" t="s">
        <v>49</v>
      </c>
      <c r="C23" s="4" t="s">
        <v>54</v>
      </c>
      <c r="D23">
        <v>4</v>
      </c>
      <c r="E23" s="4">
        <f>Table3[[#This Row],[Class0]]+21</f>
        <v>25</v>
      </c>
      <c r="F23" s="4">
        <f>Table3[[#This Row],[Class1]]+21</f>
        <v>46</v>
      </c>
      <c r="G23" s="4">
        <f>Table3[[#This Row],[Class2]]+21</f>
        <v>67</v>
      </c>
      <c r="H23" s="5">
        <f>Table3[[#This Row],[Class3]]+21</f>
        <v>88</v>
      </c>
      <c r="I23" s="5">
        <f>Table3[[#This Row],[Class4]]+21</f>
        <v>109</v>
      </c>
    </row>
    <row r="24" spans="1:20" x14ac:dyDescent="0.2">
      <c r="I24" s="3"/>
    </row>
    <row r="25" spans="1:20" x14ac:dyDescent="0.2">
      <c r="B25" s="4"/>
      <c r="C25" s="4"/>
      <c r="D25" s="4"/>
      <c r="F25" s="4"/>
      <c r="G25" s="4"/>
    </row>
    <row r="28" spans="1:20" x14ac:dyDescent="0.2">
      <c r="B28" t="s">
        <v>74</v>
      </c>
      <c r="C28" t="s">
        <v>60</v>
      </c>
      <c r="D28" t="s">
        <v>75</v>
      </c>
      <c r="F28" t="s">
        <v>80</v>
      </c>
      <c r="G28" t="s">
        <v>60</v>
      </c>
      <c r="H28" t="s">
        <v>75</v>
      </c>
      <c r="J28" t="s">
        <v>81</v>
      </c>
      <c r="K28" t="s">
        <v>60</v>
      </c>
      <c r="L28" t="s">
        <v>75</v>
      </c>
      <c r="N28" t="s">
        <v>82</v>
      </c>
      <c r="O28" t="s">
        <v>60</v>
      </c>
      <c r="P28" t="s">
        <v>75</v>
      </c>
      <c r="R28" t="s">
        <v>83</v>
      </c>
      <c r="S28" t="s">
        <v>60</v>
      </c>
      <c r="T28" t="s">
        <v>75</v>
      </c>
    </row>
    <row r="29" spans="1:20" x14ac:dyDescent="0.2">
      <c r="B29" t="s">
        <v>74</v>
      </c>
      <c r="C29" t="s">
        <v>1</v>
      </c>
      <c r="D29" t="s">
        <v>75</v>
      </c>
      <c r="F29" t="s">
        <v>80</v>
      </c>
      <c r="G29" t="s">
        <v>1</v>
      </c>
      <c r="H29" t="s">
        <v>75</v>
      </c>
      <c r="J29" t="s">
        <v>81</v>
      </c>
      <c r="K29" t="s">
        <v>1</v>
      </c>
      <c r="L29" t="s">
        <v>75</v>
      </c>
      <c r="N29" t="s">
        <v>82</v>
      </c>
      <c r="O29" t="s">
        <v>1</v>
      </c>
      <c r="P29" t="s">
        <v>75</v>
      </c>
      <c r="R29" t="s">
        <v>83</v>
      </c>
      <c r="S29" t="s">
        <v>1</v>
      </c>
      <c r="T29" t="s">
        <v>75</v>
      </c>
    </row>
    <row r="30" spans="1:20" x14ac:dyDescent="0.2">
      <c r="B30" t="s">
        <v>74</v>
      </c>
      <c r="C30" t="s">
        <v>61</v>
      </c>
      <c r="D30" t="s">
        <v>75</v>
      </c>
      <c r="F30" t="s">
        <v>80</v>
      </c>
      <c r="G30" t="s">
        <v>61</v>
      </c>
      <c r="H30" t="s">
        <v>75</v>
      </c>
      <c r="J30" t="s">
        <v>81</v>
      </c>
      <c r="K30" t="s">
        <v>61</v>
      </c>
      <c r="L30" t="s">
        <v>75</v>
      </c>
      <c r="N30" t="s">
        <v>82</v>
      </c>
      <c r="O30" t="s">
        <v>61</v>
      </c>
      <c r="P30" t="s">
        <v>75</v>
      </c>
      <c r="R30" t="s">
        <v>83</v>
      </c>
      <c r="S30" t="s">
        <v>61</v>
      </c>
      <c r="T30" t="s">
        <v>75</v>
      </c>
    </row>
    <row r="31" spans="1:20" x14ac:dyDescent="0.2">
      <c r="A31" s="1"/>
      <c r="B31" t="s">
        <v>74</v>
      </c>
      <c r="C31" t="s">
        <v>3</v>
      </c>
      <c r="D31" t="s">
        <v>75</v>
      </c>
      <c r="F31" t="s">
        <v>80</v>
      </c>
      <c r="G31" t="s">
        <v>3</v>
      </c>
      <c r="H31" t="s">
        <v>75</v>
      </c>
      <c r="J31" t="s">
        <v>81</v>
      </c>
      <c r="K31" t="s">
        <v>3</v>
      </c>
      <c r="L31" t="s">
        <v>75</v>
      </c>
      <c r="N31" t="s">
        <v>82</v>
      </c>
      <c r="O31" t="s">
        <v>3</v>
      </c>
      <c r="P31" t="s">
        <v>75</v>
      </c>
      <c r="R31" t="s">
        <v>83</v>
      </c>
      <c r="S31" t="s">
        <v>3</v>
      </c>
      <c r="T31" t="s">
        <v>75</v>
      </c>
    </row>
    <row r="32" spans="1:20" x14ac:dyDescent="0.2">
      <c r="B32" t="s">
        <v>74</v>
      </c>
      <c r="C32" t="s">
        <v>62</v>
      </c>
      <c r="D32" t="s">
        <v>75</v>
      </c>
      <c r="F32" t="s">
        <v>80</v>
      </c>
      <c r="G32" t="s">
        <v>62</v>
      </c>
      <c r="H32" t="s">
        <v>75</v>
      </c>
      <c r="J32" t="s">
        <v>81</v>
      </c>
      <c r="K32" t="s">
        <v>62</v>
      </c>
      <c r="L32" t="s">
        <v>75</v>
      </c>
      <c r="N32" t="s">
        <v>82</v>
      </c>
      <c r="O32" t="s">
        <v>62</v>
      </c>
      <c r="P32" t="s">
        <v>75</v>
      </c>
      <c r="R32" t="s">
        <v>83</v>
      </c>
      <c r="S32" t="s">
        <v>62</v>
      </c>
      <c r="T32" t="s">
        <v>75</v>
      </c>
    </row>
    <row r="33" spans="2:20" x14ac:dyDescent="0.2">
      <c r="B33" t="s">
        <v>74</v>
      </c>
      <c r="C33" t="s">
        <v>63</v>
      </c>
      <c r="D33" t="s">
        <v>75</v>
      </c>
      <c r="F33" t="s">
        <v>80</v>
      </c>
      <c r="G33" t="s">
        <v>63</v>
      </c>
      <c r="H33" t="s">
        <v>75</v>
      </c>
      <c r="J33" t="s">
        <v>81</v>
      </c>
      <c r="K33" t="s">
        <v>63</v>
      </c>
      <c r="L33" t="s">
        <v>75</v>
      </c>
      <c r="N33" t="s">
        <v>82</v>
      </c>
      <c r="O33" t="s">
        <v>63</v>
      </c>
      <c r="P33" t="s">
        <v>75</v>
      </c>
      <c r="R33" t="s">
        <v>83</v>
      </c>
      <c r="S33" t="s">
        <v>63</v>
      </c>
      <c r="T33" t="s">
        <v>75</v>
      </c>
    </row>
    <row r="34" spans="2:20" x14ac:dyDescent="0.2">
      <c r="B34" t="s">
        <v>74</v>
      </c>
      <c r="C34" t="s">
        <v>64</v>
      </c>
      <c r="D34" t="s">
        <v>75</v>
      </c>
      <c r="F34" t="s">
        <v>80</v>
      </c>
      <c r="G34" t="s">
        <v>64</v>
      </c>
      <c r="H34" t="s">
        <v>75</v>
      </c>
      <c r="J34" t="s">
        <v>81</v>
      </c>
      <c r="K34" t="s">
        <v>64</v>
      </c>
      <c r="L34" t="s">
        <v>75</v>
      </c>
      <c r="N34" t="s">
        <v>82</v>
      </c>
      <c r="O34" t="s">
        <v>64</v>
      </c>
      <c r="P34" t="s">
        <v>75</v>
      </c>
      <c r="R34" t="s">
        <v>83</v>
      </c>
      <c r="S34" t="s">
        <v>64</v>
      </c>
      <c r="T34" t="s">
        <v>75</v>
      </c>
    </row>
    <row r="35" spans="2:20" x14ac:dyDescent="0.2">
      <c r="B35" t="s">
        <v>74</v>
      </c>
      <c r="C35" t="s">
        <v>65</v>
      </c>
      <c r="D35" t="s">
        <v>75</v>
      </c>
      <c r="F35" t="s">
        <v>80</v>
      </c>
      <c r="G35" t="s">
        <v>65</v>
      </c>
      <c r="H35" t="s">
        <v>75</v>
      </c>
      <c r="J35" t="s">
        <v>81</v>
      </c>
      <c r="K35" t="s">
        <v>65</v>
      </c>
      <c r="L35" t="s">
        <v>75</v>
      </c>
      <c r="N35" t="s">
        <v>82</v>
      </c>
      <c r="O35" t="s">
        <v>65</v>
      </c>
      <c r="P35" t="s">
        <v>75</v>
      </c>
      <c r="R35" t="s">
        <v>83</v>
      </c>
      <c r="S35" t="s">
        <v>65</v>
      </c>
      <c r="T35" t="s">
        <v>75</v>
      </c>
    </row>
    <row r="36" spans="2:20" x14ac:dyDescent="0.2">
      <c r="B36" t="s">
        <v>74</v>
      </c>
      <c r="C36" t="s">
        <v>66</v>
      </c>
      <c r="D36" t="s">
        <v>75</v>
      </c>
      <c r="F36" t="s">
        <v>80</v>
      </c>
      <c r="G36" t="s">
        <v>66</v>
      </c>
      <c r="H36" t="s">
        <v>75</v>
      </c>
      <c r="J36" t="s">
        <v>81</v>
      </c>
      <c r="K36" t="s">
        <v>66</v>
      </c>
      <c r="L36" t="s">
        <v>75</v>
      </c>
      <c r="N36" t="s">
        <v>82</v>
      </c>
      <c r="O36" t="s">
        <v>66</v>
      </c>
      <c r="P36" t="s">
        <v>75</v>
      </c>
      <c r="R36" t="s">
        <v>83</v>
      </c>
      <c r="S36" t="s">
        <v>66</v>
      </c>
      <c r="T36" t="s">
        <v>75</v>
      </c>
    </row>
    <row r="37" spans="2:20" x14ac:dyDescent="0.2">
      <c r="B37" t="s">
        <v>74</v>
      </c>
      <c r="C37" t="s">
        <v>67</v>
      </c>
      <c r="D37" t="s">
        <v>75</v>
      </c>
      <c r="F37" t="s">
        <v>80</v>
      </c>
      <c r="G37" t="s">
        <v>67</v>
      </c>
      <c r="H37" t="s">
        <v>75</v>
      </c>
      <c r="J37" t="s">
        <v>81</v>
      </c>
      <c r="K37" t="s">
        <v>67</v>
      </c>
      <c r="L37" t="s">
        <v>75</v>
      </c>
      <c r="N37" t="s">
        <v>82</v>
      </c>
      <c r="O37" t="s">
        <v>67</v>
      </c>
      <c r="P37" t="s">
        <v>75</v>
      </c>
      <c r="R37" t="s">
        <v>83</v>
      </c>
      <c r="S37" t="s">
        <v>67</v>
      </c>
      <c r="T37" t="s">
        <v>75</v>
      </c>
    </row>
    <row r="38" spans="2:20" x14ac:dyDescent="0.2">
      <c r="B38" t="s">
        <v>74</v>
      </c>
      <c r="C38" t="s">
        <v>68</v>
      </c>
      <c r="D38" t="s">
        <v>75</v>
      </c>
      <c r="F38" t="s">
        <v>80</v>
      </c>
      <c r="G38" t="s">
        <v>68</v>
      </c>
      <c r="H38" t="s">
        <v>75</v>
      </c>
      <c r="J38" t="s">
        <v>81</v>
      </c>
      <c r="K38" t="s">
        <v>68</v>
      </c>
      <c r="L38" t="s">
        <v>75</v>
      </c>
      <c r="N38" t="s">
        <v>82</v>
      </c>
      <c r="O38" t="s">
        <v>68</v>
      </c>
      <c r="P38" t="s">
        <v>75</v>
      </c>
      <c r="R38" t="s">
        <v>83</v>
      </c>
      <c r="S38" t="s">
        <v>68</v>
      </c>
      <c r="T38" t="s">
        <v>75</v>
      </c>
    </row>
    <row r="39" spans="2:20" x14ac:dyDescent="0.2">
      <c r="B39" t="s">
        <v>74</v>
      </c>
      <c r="C39" t="s">
        <v>69</v>
      </c>
      <c r="D39" t="s">
        <v>75</v>
      </c>
      <c r="F39" t="s">
        <v>80</v>
      </c>
      <c r="G39" t="s">
        <v>69</v>
      </c>
      <c r="H39" t="s">
        <v>75</v>
      </c>
      <c r="J39" t="s">
        <v>81</v>
      </c>
      <c r="K39" t="s">
        <v>69</v>
      </c>
      <c r="L39" t="s">
        <v>75</v>
      </c>
      <c r="N39" t="s">
        <v>82</v>
      </c>
      <c r="O39" t="s">
        <v>69</v>
      </c>
      <c r="P39" t="s">
        <v>75</v>
      </c>
      <c r="R39" t="s">
        <v>83</v>
      </c>
      <c r="S39" t="s">
        <v>69</v>
      </c>
      <c r="T39" t="s">
        <v>75</v>
      </c>
    </row>
    <row r="40" spans="2:20" x14ac:dyDescent="0.2">
      <c r="B40" t="s">
        <v>74</v>
      </c>
      <c r="C40" t="s">
        <v>70</v>
      </c>
      <c r="D40" t="s">
        <v>75</v>
      </c>
      <c r="F40" t="s">
        <v>80</v>
      </c>
      <c r="G40" t="s">
        <v>70</v>
      </c>
      <c r="H40" t="s">
        <v>75</v>
      </c>
      <c r="J40" t="s">
        <v>81</v>
      </c>
      <c r="K40" t="s">
        <v>70</v>
      </c>
      <c r="L40" t="s">
        <v>75</v>
      </c>
      <c r="N40" t="s">
        <v>82</v>
      </c>
      <c r="O40" t="s">
        <v>70</v>
      </c>
      <c r="P40" t="s">
        <v>75</v>
      </c>
      <c r="R40" t="s">
        <v>83</v>
      </c>
      <c r="S40" t="s">
        <v>70</v>
      </c>
      <c r="T40" t="s">
        <v>75</v>
      </c>
    </row>
    <row r="41" spans="2:20" x14ac:dyDescent="0.2">
      <c r="B41" t="s">
        <v>74</v>
      </c>
      <c r="C41" t="s">
        <v>71</v>
      </c>
      <c r="D41" t="s">
        <v>75</v>
      </c>
      <c r="F41" t="s">
        <v>80</v>
      </c>
      <c r="G41" t="s">
        <v>71</v>
      </c>
      <c r="H41" t="s">
        <v>75</v>
      </c>
      <c r="J41" t="s">
        <v>81</v>
      </c>
      <c r="K41" t="s">
        <v>71</v>
      </c>
      <c r="L41" t="s">
        <v>75</v>
      </c>
      <c r="N41" t="s">
        <v>82</v>
      </c>
      <c r="O41" t="s">
        <v>71</v>
      </c>
      <c r="P41" t="s">
        <v>75</v>
      </c>
      <c r="R41" t="s">
        <v>83</v>
      </c>
      <c r="S41" t="s">
        <v>71</v>
      </c>
      <c r="T41" t="s">
        <v>75</v>
      </c>
    </row>
    <row r="42" spans="2:20" x14ac:dyDescent="0.2">
      <c r="B42" t="s">
        <v>74</v>
      </c>
      <c r="C42" t="s">
        <v>72</v>
      </c>
      <c r="D42" t="s">
        <v>75</v>
      </c>
      <c r="F42" t="s">
        <v>80</v>
      </c>
      <c r="G42" t="s">
        <v>72</v>
      </c>
      <c r="H42" t="s">
        <v>75</v>
      </c>
      <c r="J42" t="s">
        <v>81</v>
      </c>
      <c r="K42" t="s">
        <v>72</v>
      </c>
      <c r="L42" t="s">
        <v>75</v>
      </c>
      <c r="N42" t="s">
        <v>82</v>
      </c>
      <c r="O42" t="s">
        <v>72</v>
      </c>
      <c r="P42" t="s">
        <v>75</v>
      </c>
      <c r="R42" t="s">
        <v>83</v>
      </c>
      <c r="S42" t="s">
        <v>72</v>
      </c>
      <c r="T42" t="s">
        <v>75</v>
      </c>
    </row>
    <row r="43" spans="2:20" x14ac:dyDescent="0.2">
      <c r="B43" t="s">
        <v>74</v>
      </c>
      <c r="C43" t="s">
        <v>73</v>
      </c>
      <c r="D43" t="s">
        <v>75</v>
      </c>
      <c r="F43" t="s">
        <v>80</v>
      </c>
      <c r="G43" t="s">
        <v>73</v>
      </c>
      <c r="H43" t="s">
        <v>75</v>
      </c>
      <c r="J43" t="s">
        <v>81</v>
      </c>
      <c r="K43" t="s">
        <v>73</v>
      </c>
      <c r="L43" t="s">
        <v>75</v>
      </c>
      <c r="N43" t="s">
        <v>82</v>
      </c>
      <c r="O43" t="s">
        <v>73</v>
      </c>
      <c r="P43" t="s">
        <v>75</v>
      </c>
      <c r="R43" t="s">
        <v>83</v>
      </c>
      <c r="S43" t="s">
        <v>73</v>
      </c>
      <c r="T43" t="s">
        <v>75</v>
      </c>
    </row>
    <row r="44" spans="2:20" x14ac:dyDescent="0.2">
      <c r="B44" t="s">
        <v>74</v>
      </c>
      <c r="C44" s="4" t="s">
        <v>76</v>
      </c>
      <c r="D44" t="s">
        <v>75</v>
      </c>
      <c r="F44" t="s">
        <v>80</v>
      </c>
      <c r="G44" s="4" t="s">
        <v>76</v>
      </c>
      <c r="H44" t="s">
        <v>75</v>
      </c>
      <c r="J44" t="s">
        <v>81</v>
      </c>
      <c r="K44" s="4" t="s">
        <v>76</v>
      </c>
      <c r="L44" t="s">
        <v>75</v>
      </c>
      <c r="N44" t="s">
        <v>82</v>
      </c>
      <c r="O44" s="4" t="s">
        <v>76</v>
      </c>
      <c r="P44" t="s">
        <v>75</v>
      </c>
      <c r="R44" t="s">
        <v>83</v>
      </c>
      <c r="S44" s="4" t="s">
        <v>76</v>
      </c>
      <c r="T44" t="s">
        <v>75</v>
      </c>
    </row>
    <row r="45" spans="2:20" x14ac:dyDescent="0.2">
      <c r="B45" t="s">
        <v>74</v>
      </c>
      <c r="C45" s="4" t="s">
        <v>77</v>
      </c>
      <c r="D45" t="s">
        <v>75</v>
      </c>
      <c r="F45" t="s">
        <v>80</v>
      </c>
      <c r="G45" s="4" t="s">
        <v>77</v>
      </c>
      <c r="H45" t="s">
        <v>75</v>
      </c>
      <c r="J45" t="s">
        <v>81</v>
      </c>
      <c r="K45" s="4" t="s">
        <v>77</v>
      </c>
      <c r="L45" t="s">
        <v>75</v>
      </c>
      <c r="N45" t="s">
        <v>82</v>
      </c>
      <c r="O45" s="4" t="s">
        <v>77</v>
      </c>
      <c r="P45" t="s">
        <v>75</v>
      </c>
      <c r="R45" t="s">
        <v>83</v>
      </c>
      <c r="S45" s="4" t="s">
        <v>77</v>
      </c>
      <c r="T45" t="s">
        <v>75</v>
      </c>
    </row>
    <row r="46" spans="2:20" x14ac:dyDescent="0.2">
      <c r="B46" t="s">
        <v>74</v>
      </c>
      <c r="C46" s="4" t="s">
        <v>78</v>
      </c>
      <c r="D46" t="s">
        <v>75</v>
      </c>
      <c r="F46" t="s">
        <v>80</v>
      </c>
      <c r="G46" s="4" t="s">
        <v>78</v>
      </c>
      <c r="H46" t="s">
        <v>75</v>
      </c>
      <c r="J46" t="s">
        <v>81</v>
      </c>
      <c r="K46" s="4" t="s">
        <v>78</v>
      </c>
      <c r="L46" t="s">
        <v>75</v>
      </c>
      <c r="N46" t="s">
        <v>82</v>
      </c>
      <c r="O46" s="4" t="s">
        <v>78</v>
      </c>
      <c r="P46" t="s">
        <v>75</v>
      </c>
      <c r="R46" t="s">
        <v>83</v>
      </c>
      <c r="S46" s="4" t="s">
        <v>78</v>
      </c>
      <c r="T46" t="s">
        <v>75</v>
      </c>
    </row>
    <row r="47" spans="2:20" x14ac:dyDescent="0.2">
      <c r="B47" t="s">
        <v>74</v>
      </c>
      <c r="C47" s="4" t="s">
        <v>79</v>
      </c>
      <c r="D47" t="s">
        <v>75</v>
      </c>
      <c r="F47" t="s">
        <v>80</v>
      </c>
      <c r="G47" s="4" t="s">
        <v>79</v>
      </c>
      <c r="H47" t="s">
        <v>75</v>
      </c>
      <c r="J47" t="s">
        <v>81</v>
      </c>
      <c r="K47" s="4" t="s">
        <v>79</v>
      </c>
      <c r="L47" t="s">
        <v>75</v>
      </c>
      <c r="N47" t="s">
        <v>82</v>
      </c>
      <c r="O47" s="4" t="s">
        <v>79</v>
      </c>
      <c r="P47" t="s">
        <v>75</v>
      </c>
      <c r="R47" t="s">
        <v>83</v>
      </c>
      <c r="S47" s="4" t="s">
        <v>79</v>
      </c>
      <c r="T47" t="s">
        <v>75</v>
      </c>
    </row>
    <row r="48" spans="2:20" x14ac:dyDescent="0.2">
      <c r="B48" t="s">
        <v>74</v>
      </c>
      <c r="C48" s="7" t="s">
        <v>34</v>
      </c>
      <c r="D48" t="s">
        <v>75</v>
      </c>
      <c r="F48" t="s">
        <v>80</v>
      </c>
      <c r="G48" s="7" t="s">
        <v>34</v>
      </c>
      <c r="H48" t="s">
        <v>75</v>
      </c>
      <c r="J48" t="s">
        <v>81</v>
      </c>
      <c r="K48" s="7" t="s">
        <v>34</v>
      </c>
      <c r="L48" t="s">
        <v>75</v>
      </c>
      <c r="N48" t="s">
        <v>82</v>
      </c>
      <c r="O48" s="7" t="s">
        <v>34</v>
      </c>
      <c r="P48" t="s">
        <v>75</v>
      </c>
      <c r="R48" t="s">
        <v>83</v>
      </c>
      <c r="S48" s="7" t="s">
        <v>34</v>
      </c>
      <c r="T48" t="s">
        <v>75</v>
      </c>
    </row>
    <row r="51" spans="2:2" x14ac:dyDescent="0.2">
      <c r="B51">
        <v>1</v>
      </c>
    </row>
    <row r="52" spans="2:2" x14ac:dyDescent="0.2">
      <c r="B52">
        <v>2</v>
      </c>
    </row>
    <row r="53" spans="2:2" x14ac:dyDescent="0.2">
      <c r="B53">
        <v>3</v>
      </c>
    </row>
    <row r="54" spans="2:2" x14ac:dyDescent="0.2">
      <c r="B54">
        <v>5</v>
      </c>
    </row>
  </sheetData>
  <mergeCells count="8">
    <mergeCell ref="EJ11:FD11"/>
    <mergeCell ref="FE11:FY11"/>
    <mergeCell ref="N11:AH11"/>
    <mergeCell ref="AI11:BC11"/>
    <mergeCell ref="BD11:BX11"/>
    <mergeCell ref="BY11:CS11"/>
    <mergeCell ref="CT11:DN11"/>
    <mergeCell ref="DO11:EI1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C5B-0ADC-874D-99C3-AAD9D871ED35}">
  <dimension ref="A2:EQ134"/>
  <sheetViews>
    <sheetView topLeftCell="B1" zoomScale="83" workbookViewId="0">
      <selection activeCell="P12" sqref="P12"/>
    </sheetView>
  </sheetViews>
  <sheetFormatPr baseColWidth="10" defaultRowHeight="16" x14ac:dyDescent="0.2"/>
  <cols>
    <col min="37" max="37" width="5.6640625" customWidth="1"/>
  </cols>
  <sheetData>
    <row r="2" spans="4:147" x14ac:dyDescent="0.2">
      <c r="E2" t="s">
        <v>22</v>
      </c>
      <c r="F2" t="s">
        <v>25</v>
      </c>
      <c r="G2" t="s">
        <v>23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</row>
    <row r="3" spans="4:147" x14ac:dyDescent="0.2">
      <c r="D3" t="s">
        <v>26</v>
      </c>
      <c r="E3" t="s">
        <v>2</v>
      </c>
      <c r="F3" s="2">
        <v>0</v>
      </c>
      <c r="G3" t="s">
        <v>24</v>
      </c>
      <c r="H3">
        <v>7</v>
      </c>
      <c r="I3">
        <f>Table1[[#This Row],[Class0]]+22</f>
        <v>29</v>
      </c>
      <c r="J3">
        <f>Table1[[#This Row],[Class1]]+22</f>
        <v>51</v>
      </c>
      <c r="K3">
        <f>Table1[[#This Row],[Class2]]+22</f>
        <v>73</v>
      </c>
      <c r="L3" s="3">
        <f>Table1[[#This Row],[Class3]]+22</f>
        <v>95</v>
      </c>
      <c r="M3" s="3">
        <f>Table1[[#This Row],[Class4]]+22</f>
        <v>117</v>
      </c>
      <c r="N3" s="3"/>
    </row>
    <row r="4" spans="4:147" x14ac:dyDescent="0.2">
      <c r="D4" t="s">
        <v>26</v>
      </c>
      <c r="E4" t="s">
        <v>17</v>
      </c>
      <c r="F4" s="2">
        <v>1</v>
      </c>
      <c r="G4" t="s">
        <v>0</v>
      </c>
      <c r="H4">
        <v>6</v>
      </c>
      <c r="I4">
        <f>Table1[[#This Row],[Class0]]+22</f>
        <v>28</v>
      </c>
      <c r="J4">
        <f>Table1[[#This Row],[Class1]]+22</f>
        <v>50</v>
      </c>
      <c r="K4">
        <f>Table1[[#This Row],[Class2]]+22</f>
        <v>72</v>
      </c>
      <c r="L4" s="3">
        <f>Table1[[#This Row],[Class3]]+22</f>
        <v>94</v>
      </c>
      <c r="M4" s="3">
        <f>Table1[[#This Row],[Class4]]+22</f>
        <v>116</v>
      </c>
      <c r="N4" s="3"/>
      <c r="O4" t="s">
        <v>26</v>
      </c>
      <c r="P4" cm="1">
        <f t="array" ref="P4:AK4">TRANSPOSE(H3:H24)</f>
        <v>7</v>
      </c>
      <c r="Q4">
        <v>6</v>
      </c>
      <c r="R4">
        <v>14</v>
      </c>
      <c r="S4">
        <v>0</v>
      </c>
      <c r="T4">
        <v>21</v>
      </c>
      <c r="U4">
        <v>17</v>
      </c>
      <c r="V4">
        <v>10</v>
      </c>
      <c r="W4">
        <v>18</v>
      </c>
      <c r="X4">
        <v>11</v>
      </c>
      <c r="Y4">
        <v>19</v>
      </c>
      <c r="Z4">
        <v>12</v>
      </c>
      <c r="AA4">
        <v>20</v>
      </c>
      <c r="AB4">
        <v>13</v>
      </c>
      <c r="AC4">
        <v>15</v>
      </c>
      <c r="AD4">
        <v>8</v>
      </c>
      <c r="AE4">
        <v>16</v>
      </c>
      <c r="AF4">
        <v>9</v>
      </c>
      <c r="AG4">
        <v>5</v>
      </c>
      <c r="AH4">
        <v>1</v>
      </c>
      <c r="AI4">
        <v>3</v>
      </c>
      <c r="AJ4">
        <v>2</v>
      </c>
      <c r="AK4">
        <v>4</v>
      </c>
    </row>
    <row r="5" spans="4:147" x14ac:dyDescent="0.2">
      <c r="D5" t="s">
        <v>26</v>
      </c>
      <c r="E5" t="s">
        <v>19</v>
      </c>
      <c r="F5" s="2">
        <v>2</v>
      </c>
      <c r="G5" t="s">
        <v>1</v>
      </c>
      <c r="H5">
        <v>14</v>
      </c>
      <c r="I5">
        <f>Table1[[#This Row],[Class0]]+22</f>
        <v>36</v>
      </c>
      <c r="J5">
        <f>Table1[[#This Row],[Class1]]+22</f>
        <v>58</v>
      </c>
      <c r="K5">
        <f>Table1[[#This Row],[Class2]]+22</f>
        <v>80</v>
      </c>
      <c r="L5" s="3">
        <f>Table1[[#This Row],[Class3]]+22</f>
        <v>102</v>
      </c>
      <c r="M5" s="3">
        <f>Table1[[#This Row],[Class4]]+22</f>
        <v>124</v>
      </c>
      <c r="N5" s="3"/>
      <c r="O5" t="s">
        <v>27</v>
      </c>
      <c r="P5" cm="1">
        <f t="array" ref="P5:AK5">TRANSPOSE(I3:I24)</f>
        <v>29</v>
      </c>
      <c r="Q5">
        <v>28</v>
      </c>
      <c r="R5">
        <v>36</v>
      </c>
      <c r="S5">
        <v>22</v>
      </c>
      <c r="T5">
        <v>43</v>
      </c>
      <c r="U5">
        <v>39</v>
      </c>
      <c r="V5">
        <v>32</v>
      </c>
      <c r="W5">
        <v>40</v>
      </c>
      <c r="X5">
        <v>33</v>
      </c>
      <c r="Y5">
        <v>41</v>
      </c>
      <c r="Z5">
        <v>34</v>
      </c>
      <c r="AA5">
        <v>42</v>
      </c>
      <c r="AB5">
        <v>35</v>
      </c>
      <c r="AC5">
        <v>37</v>
      </c>
      <c r="AD5">
        <v>30</v>
      </c>
      <c r="AE5">
        <v>38</v>
      </c>
      <c r="AF5">
        <v>31</v>
      </c>
      <c r="AG5">
        <v>27</v>
      </c>
      <c r="AH5">
        <v>23</v>
      </c>
      <c r="AI5">
        <v>25</v>
      </c>
      <c r="AJ5">
        <v>24</v>
      </c>
      <c r="AK5">
        <v>26</v>
      </c>
    </row>
    <row r="6" spans="4:147" x14ac:dyDescent="0.2">
      <c r="D6" t="s">
        <v>26</v>
      </c>
      <c r="E6" t="s">
        <v>18</v>
      </c>
      <c r="F6" s="2">
        <v>3</v>
      </c>
      <c r="G6" t="s">
        <v>2</v>
      </c>
      <c r="H6">
        <v>0</v>
      </c>
      <c r="I6">
        <f>Table1[[#This Row],[Class0]]+22</f>
        <v>22</v>
      </c>
      <c r="J6">
        <f>Table1[[#This Row],[Class1]]+22</f>
        <v>44</v>
      </c>
      <c r="K6">
        <f>Table1[[#This Row],[Class2]]+22</f>
        <v>66</v>
      </c>
      <c r="L6" s="3">
        <f>Table1[[#This Row],[Class3]]+22</f>
        <v>88</v>
      </c>
      <c r="M6" s="3">
        <f>Table1[[#This Row],[Class4]]+22</f>
        <v>110</v>
      </c>
      <c r="N6" s="3"/>
      <c r="O6" t="s">
        <v>28</v>
      </c>
      <c r="P6" cm="1">
        <f t="array" ref="P6:AK6">TRANSPOSE(J3:J24)</f>
        <v>51</v>
      </c>
      <c r="Q6">
        <v>50</v>
      </c>
      <c r="R6">
        <v>58</v>
      </c>
      <c r="S6">
        <v>44</v>
      </c>
      <c r="T6">
        <v>65</v>
      </c>
      <c r="U6">
        <v>61</v>
      </c>
      <c r="V6">
        <v>54</v>
      </c>
      <c r="W6">
        <v>62</v>
      </c>
      <c r="X6">
        <v>55</v>
      </c>
      <c r="Y6">
        <v>63</v>
      </c>
      <c r="Z6">
        <v>56</v>
      </c>
      <c r="AA6">
        <v>64</v>
      </c>
      <c r="AB6">
        <v>57</v>
      </c>
      <c r="AC6">
        <v>59</v>
      </c>
      <c r="AD6">
        <v>52</v>
      </c>
      <c r="AE6">
        <v>60</v>
      </c>
      <c r="AF6">
        <v>53</v>
      </c>
      <c r="AG6">
        <v>49</v>
      </c>
      <c r="AH6">
        <v>45</v>
      </c>
      <c r="AI6">
        <v>47</v>
      </c>
      <c r="AJ6">
        <v>46</v>
      </c>
      <c r="AK6">
        <v>48</v>
      </c>
    </row>
    <row r="7" spans="4:147" x14ac:dyDescent="0.2">
      <c r="D7" t="s">
        <v>26</v>
      </c>
      <c r="E7" t="s">
        <v>20</v>
      </c>
      <c r="F7" s="2">
        <v>4</v>
      </c>
      <c r="G7" t="s">
        <v>3</v>
      </c>
      <c r="H7">
        <v>21</v>
      </c>
      <c r="I7">
        <f>Table1[[#This Row],[Class0]]+22</f>
        <v>43</v>
      </c>
      <c r="J7">
        <f>Table1[[#This Row],[Class1]]+22</f>
        <v>65</v>
      </c>
      <c r="K7">
        <f>Table1[[#This Row],[Class2]]+22</f>
        <v>87</v>
      </c>
      <c r="L7" s="3">
        <f>Table1[[#This Row],[Class3]]+22</f>
        <v>109</v>
      </c>
      <c r="M7" s="3">
        <f>Table1[[#This Row],[Class4]]+22</f>
        <v>131</v>
      </c>
      <c r="N7" s="3"/>
      <c r="O7" t="s">
        <v>29</v>
      </c>
      <c r="P7" cm="1">
        <f t="array" ref="P7:AK7">TRANSPOSE(K3:K24)</f>
        <v>73</v>
      </c>
      <c r="Q7">
        <v>72</v>
      </c>
      <c r="R7">
        <v>80</v>
      </c>
      <c r="S7">
        <v>66</v>
      </c>
      <c r="T7">
        <v>87</v>
      </c>
      <c r="U7">
        <v>83</v>
      </c>
      <c r="V7">
        <v>76</v>
      </c>
      <c r="W7">
        <v>84</v>
      </c>
      <c r="X7">
        <v>77</v>
      </c>
      <c r="Y7">
        <v>85</v>
      </c>
      <c r="Z7">
        <v>78</v>
      </c>
      <c r="AA7">
        <v>86</v>
      </c>
      <c r="AB7">
        <v>79</v>
      </c>
      <c r="AC7">
        <v>81</v>
      </c>
      <c r="AD7">
        <v>74</v>
      </c>
      <c r="AE7">
        <v>82</v>
      </c>
      <c r="AF7">
        <v>75</v>
      </c>
      <c r="AG7">
        <v>71</v>
      </c>
      <c r="AH7">
        <v>67</v>
      </c>
      <c r="AI7">
        <v>69</v>
      </c>
      <c r="AJ7">
        <v>68</v>
      </c>
      <c r="AK7">
        <v>70</v>
      </c>
    </row>
    <row r="8" spans="4:147" x14ac:dyDescent="0.2">
      <c r="D8" t="s">
        <v>26</v>
      </c>
      <c r="E8" t="s">
        <v>16</v>
      </c>
      <c r="F8" s="2">
        <v>5</v>
      </c>
      <c r="G8" t="s">
        <v>4</v>
      </c>
      <c r="H8">
        <v>17</v>
      </c>
      <c r="I8">
        <f>Table1[[#This Row],[Class0]]+22</f>
        <v>39</v>
      </c>
      <c r="J8">
        <f>Table1[[#This Row],[Class1]]+22</f>
        <v>61</v>
      </c>
      <c r="K8">
        <f>Table1[[#This Row],[Class2]]+22</f>
        <v>83</v>
      </c>
      <c r="L8" s="3">
        <f>Table1[[#This Row],[Class3]]+22</f>
        <v>105</v>
      </c>
      <c r="M8" s="3">
        <f>Table1[[#This Row],[Class4]]+22</f>
        <v>127</v>
      </c>
      <c r="N8" s="3"/>
      <c r="O8" t="s">
        <v>30</v>
      </c>
      <c r="P8" cm="1">
        <f t="array" ref="P8:AK8">TRANSPOSE(L3:L24)</f>
        <v>95</v>
      </c>
      <c r="Q8">
        <v>94</v>
      </c>
      <c r="R8">
        <v>102</v>
      </c>
      <c r="S8">
        <v>88</v>
      </c>
      <c r="T8">
        <v>109</v>
      </c>
      <c r="U8">
        <v>105</v>
      </c>
      <c r="V8">
        <v>98</v>
      </c>
      <c r="W8">
        <v>106</v>
      </c>
      <c r="X8">
        <v>99</v>
      </c>
      <c r="Y8">
        <v>107</v>
      </c>
      <c r="Z8">
        <v>100</v>
      </c>
      <c r="AA8">
        <v>108</v>
      </c>
      <c r="AB8">
        <v>101</v>
      </c>
      <c r="AC8">
        <v>103</v>
      </c>
      <c r="AD8">
        <v>96</v>
      </c>
      <c r="AE8">
        <v>104</v>
      </c>
      <c r="AF8">
        <v>97</v>
      </c>
      <c r="AG8">
        <v>93</v>
      </c>
      <c r="AH8">
        <v>89</v>
      </c>
      <c r="AI8">
        <v>91</v>
      </c>
      <c r="AJ8">
        <v>90</v>
      </c>
      <c r="AK8">
        <v>92</v>
      </c>
    </row>
    <row r="9" spans="4:147" x14ac:dyDescent="0.2">
      <c r="D9" t="s">
        <v>26</v>
      </c>
      <c r="E9" t="s">
        <v>0</v>
      </c>
      <c r="F9" s="2">
        <v>6</v>
      </c>
      <c r="G9" t="s">
        <v>5</v>
      </c>
      <c r="H9">
        <v>10</v>
      </c>
      <c r="I9">
        <f>Table1[[#This Row],[Class0]]+22</f>
        <v>32</v>
      </c>
      <c r="J9">
        <f>Table1[[#This Row],[Class1]]+22</f>
        <v>54</v>
      </c>
      <c r="K9">
        <f>Table1[[#This Row],[Class2]]+22</f>
        <v>76</v>
      </c>
      <c r="L9" s="3">
        <f>Table1[[#This Row],[Class3]]+22</f>
        <v>98</v>
      </c>
      <c r="M9" s="3">
        <f>Table1[[#This Row],[Class4]]+22</f>
        <v>120</v>
      </c>
      <c r="N9" s="3"/>
      <c r="O9" t="s">
        <v>31</v>
      </c>
      <c r="P9" cm="1">
        <f t="array" ref="P9:AK9">TRANSPOSE(M3:M24)</f>
        <v>117</v>
      </c>
      <c r="Q9">
        <v>116</v>
      </c>
      <c r="R9">
        <v>124</v>
      </c>
      <c r="S9">
        <v>110</v>
      </c>
      <c r="T9">
        <v>131</v>
      </c>
      <c r="U9">
        <v>127</v>
      </c>
      <c r="V9">
        <v>120</v>
      </c>
      <c r="W9">
        <v>128</v>
      </c>
      <c r="X9">
        <v>121</v>
      </c>
      <c r="Y9">
        <v>129</v>
      </c>
      <c r="Z9">
        <v>122</v>
      </c>
      <c r="AA9">
        <v>130</v>
      </c>
      <c r="AB9">
        <v>123</v>
      </c>
      <c r="AC9">
        <v>125</v>
      </c>
      <c r="AD9">
        <v>118</v>
      </c>
      <c r="AE9">
        <v>126</v>
      </c>
      <c r="AF9">
        <v>119</v>
      </c>
      <c r="AG9">
        <v>115</v>
      </c>
      <c r="AH9">
        <v>111</v>
      </c>
      <c r="AI9">
        <v>113</v>
      </c>
      <c r="AJ9">
        <v>112</v>
      </c>
      <c r="AK9">
        <v>114</v>
      </c>
    </row>
    <row r="10" spans="4:147" x14ac:dyDescent="0.2">
      <c r="D10" t="s">
        <v>26</v>
      </c>
      <c r="E10" t="s">
        <v>21</v>
      </c>
      <c r="F10" s="2">
        <v>7</v>
      </c>
      <c r="G10" t="s">
        <v>6</v>
      </c>
      <c r="H10">
        <v>18</v>
      </c>
      <c r="I10">
        <f>Table1[[#This Row],[Class0]]+22</f>
        <v>40</v>
      </c>
      <c r="J10">
        <f>Table1[[#This Row],[Class1]]+22</f>
        <v>62</v>
      </c>
      <c r="K10">
        <f>Table1[[#This Row],[Class2]]+22</f>
        <v>84</v>
      </c>
      <c r="L10" s="3">
        <f>Table1[[#This Row],[Class3]]+22</f>
        <v>106</v>
      </c>
      <c r="M10" s="3">
        <f>Table1[[#This Row],[Class4]]+22</f>
        <v>128</v>
      </c>
      <c r="N10" s="3"/>
    </row>
    <row r="11" spans="4:147" x14ac:dyDescent="0.2">
      <c r="D11" t="s">
        <v>26</v>
      </c>
      <c r="E11" t="s">
        <v>13</v>
      </c>
      <c r="F11" s="2">
        <v>8</v>
      </c>
      <c r="G11" t="s">
        <v>7</v>
      </c>
      <c r="H11">
        <v>11</v>
      </c>
      <c r="I11">
        <f>Table1[[#This Row],[Class0]]+22</f>
        <v>33</v>
      </c>
      <c r="J11">
        <f>Table1[[#This Row],[Class1]]+22</f>
        <v>55</v>
      </c>
      <c r="K11">
        <f>Table1[[#This Row],[Class2]]+22</f>
        <v>77</v>
      </c>
      <c r="L11" s="3">
        <f>Table1[[#This Row],[Class3]]+22</f>
        <v>99</v>
      </c>
      <c r="M11" s="3">
        <f>Table1[[#This Row],[Class4]]+22</f>
        <v>121</v>
      </c>
      <c r="N11" s="3"/>
    </row>
    <row r="12" spans="4:147" x14ac:dyDescent="0.2">
      <c r="D12" t="s">
        <v>26</v>
      </c>
      <c r="E12" t="s">
        <v>15</v>
      </c>
      <c r="F12" s="2">
        <v>9</v>
      </c>
      <c r="G12" t="s">
        <v>8</v>
      </c>
      <c r="H12">
        <v>19</v>
      </c>
      <c r="I12">
        <f>Table1[[#This Row],[Class0]]+22</f>
        <v>41</v>
      </c>
      <c r="J12">
        <f>Table1[[#This Row],[Class1]]+22</f>
        <v>63</v>
      </c>
      <c r="K12">
        <f>Table1[[#This Row],[Class2]]+22</f>
        <v>85</v>
      </c>
      <c r="L12" s="3">
        <f>Table1[[#This Row],[Class3]]+22</f>
        <v>107</v>
      </c>
      <c r="M12" s="3">
        <f>Table1[[#This Row],[Class4]]+22</f>
        <v>129</v>
      </c>
      <c r="N12" s="3"/>
      <c r="O12" t="s">
        <v>33</v>
      </c>
      <c r="P12" cm="1">
        <f t="array" ref="P12:EQ12">TRANSPOSE(Table1[Column12])</f>
        <v>0</v>
      </c>
      <c r="Q12">
        <v>1</v>
      </c>
      <c r="R12">
        <v>2</v>
      </c>
      <c r="S12">
        <v>3</v>
      </c>
      <c r="T12">
        <v>4</v>
      </c>
      <c r="U12">
        <v>5</v>
      </c>
      <c r="V12">
        <v>6</v>
      </c>
      <c r="W12">
        <v>7</v>
      </c>
      <c r="X12">
        <v>8</v>
      </c>
      <c r="Y12">
        <v>9</v>
      </c>
      <c r="Z12">
        <v>10</v>
      </c>
      <c r="AA12">
        <v>11</v>
      </c>
      <c r="AB12">
        <v>12</v>
      </c>
      <c r="AC12">
        <v>13</v>
      </c>
      <c r="AD12">
        <v>14</v>
      </c>
      <c r="AE12">
        <v>15</v>
      </c>
      <c r="AF12">
        <v>16</v>
      </c>
      <c r="AG12">
        <v>17</v>
      </c>
      <c r="AH12">
        <v>18</v>
      </c>
      <c r="AI12">
        <v>19</v>
      </c>
      <c r="AJ12">
        <v>20</v>
      </c>
      <c r="AK12">
        <v>21</v>
      </c>
      <c r="AL12">
        <v>22</v>
      </c>
      <c r="AM12">
        <v>23</v>
      </c>
      <c r="AN12">
        <v>24</v>
      </c>
      <c r="AO12">
        <v>25</v>
      </c>
      <c r="AP12">
        <v>26</v>
      </c>
      <c r="AQ12">
        <v>27</v>
      </c>
      <c r="AR12">
        <v>28</v>
      </c>
      <c r="AS12">
        <v>29</v>
      </c>
      <c r="AT12">
        <v>30</v>
      </c>
      <c r="AU12">
        <v>31</v>
      </c>
      <c r="AV12">
        <v>32</v>
      </c>
      <c r="AW12">
        <v>33</v>
      </c>
      <c r="AX12">
        <v>34</v>
      </c>
      <c r="AY12">
        <v>35</v>
      </c>
      <c r="AZ12">
        <v>36</v>
      </c>
      <c r="BA12">
        <v>37</v>
      </c>
      <c r="BB12">
        <v>38</v>
      </c>
      <c r="BC12">
        <v>39</v>
      </c>
      <c r="BD12">
        <v>40</v>
      </c>
      <c r="BE12">
        <v>41</v>
      </c>
      <c r="BF12">
        <v>42</v>
      </c>
      <c r="BG12">
        <v>43</v>
      </c>
      <c r="BH12">
        <v>44</v>
      </c>
      <c r="BI12">
        <v>45</v>
      </c>
      <c r="BJ12">
        <v>46</v>
      </c>
      <c r="BK12">
        <v>47</v>
      </c>
      <c r="BL12">
        <v>48</v>
      </c>
      <c r="BM12">
        <v>49</v>
      </c>
      <c r="BN12">
        <v>50</v>
      </c>
      <c r="BO12">
        <v>51</v>
      </c>
      <c r="BP12">
        <v>52</v>
      </c>
      <c r="BQ12">
        <v>53</v>
      </c>
      <c r="BR12">
        <v>54</v>
      </c>
      <c r="BS12">
        <v>55</v>
      </c>
      <c r="BT12">
        <v>56</v>
      </c>
      <c r="BU12">
        <v>57</v>
      </c>
      <c r="BV12">
        <v>58</v>
      </c>
      <c r="BW12">
        <v>59</v>
      </c>
      <c r="BX12">
        <v>60</v>
      </c>
      <c r="BY12">
        <v>61</v>
      </c>
      <c r="BZ12">
        <v>62</v>
      </c>
      <c r="CA12">
        <v>63</v>
      </c>
      <c r="CB12">
        <v>64</v>
      </c>
      <c r="CC12">
        <v>65</v>
      </c>
      <c r="CD12">
        <v>66</v>
      </c>
      <c r="CE12">
        <v>67</v>
      </c>
      <c r="CF12">
        <v>68</v>
      </c>
      <c r="CG12">
        <v>69</v>
      </c>
      <c r="CH12">
        <v>70</v>
      </c>
      <c r="CI12">
        <v>71</v>
      </c>
      <c r="CJ12">
        <v>72</v>
      </c>
      <c r="CK12">
        <v>73</v>
      </c>
      <c r="CL12">
        <v>74</v>
      </c>
      <c r="CM12">
        <v>75</v>
      </c>
      <c r="CN12">
        <v>76</v>
      </c>
      <c r="CO12">
        <v>77</v>
      </c>
      <c r="CP12">
        <v>78</v>
      </c>
      <c r="CQ12">
        <v>79</v>
      </c>
      <c r="CR12">
        <v>80</v>
      </c>
      <c r="CS12">
        <v>81</v>
      </c>
      <c r="CT12">
        <v>82</v>
      </c>
      <c r="CU12">
        <v>83</v>
      </c>
      <c r="CV12">
        <v>84</v>
      </c>
      <c r="CW12">
        <v>85</v>
      </c>
      <c r="CX12">
        <v>86</v>
      </c>
      <c r="CY12">
        <v>87</v>
      </c>
      <c r="CZ12">
        <v>88</v>
      </c>
      <c r="DA12">
        <v>89</v>
      </c>
      <c r="DB12">
        <v>90</v>
      </c>
      <c r="DC12">
        <v>91</v>
      </c>
      <c r="DD12">
        <v>92</v>
      </c>
      <c r="DE12">
        <v>93</v>
      </c>
      <c r="DF12">
        <v>94</v>
      </c>
      <c r="DG12">
        <v>95</v>
      </c>
      <c r="DH12">
        <v>96</v>
      </c>
      <c r="DI12">
        <v>97</v>
      </c>
      <c r="DJ12">
        <v>98</v>
      </c>
      <c r="DK12">
        <v>99</v>
      </c>
      <c r="DL12">
        <v>100</v>
      </c>
      <c r="DM12">
        <v>101</v>
      </c>
      <c r="DN12">
        <v>102</v>
      </c>
      <c r="DO12">
        <v>103</v>
      </c>
      <c r="DP12">
        <v>104</v>
      </c>
      <c r="DQ12">
        <v>105</v>
      </c>
      <c r="DR12">
        <v>106</v>
      </c>
      <c r="DS12">
        <v>107</v>
      </c>
      <c r="DT12">
        <v>108</v>
      </c>
      <c r="DU12">
        <v>109</v>
      </c>
      <c r="DV12">
        <v>110</v>
      </c>
      <c r="DW12">
        <v>111</v>
      </c>
      <c r="DX12">
        <v>112</v>
      </c>
      <c r="DY12">
        <v>113</v>
      </c>
      <c r="DZ12">
        <v>114</v>
      </c>
      <c r="EA12">
        <v>115</v>
      </c>
      <c r="EB12">
        <v>116</v>
      </c>
      <c r="EC12">
        <v>117</v>
      </c>
      <c r="ED12">
        <v>118</v>
      </c>
      <c r="EE12">
        <v>119</v>
      </c>
      <c r="EF12">
        <v>120</v>
      </c>
      <c r="EG12">
        <v>121</v>
      </c>
      <c r="EH12">
        <v>122</v>
      </c>
      <c r="EI12">
        <v>123</v>
      </c>
      <c r="EJ12">
        <v>124</v>
      </c>
      <c r="EK12">
        <v>125</v>
      </c>
      <c r="EL12">
        <v>126</v>
      </c>
      <c r="EM12">
        <v>127</v>
      </c>
      <c r="EN12">
        <v>128</v>
      </c>
      <c r="EO12">
        <v>129</v>
      </c>
      <c r="EP12">
        <v>130</v>
      </c>
      <c r="EQ12">
        <v>131</v>
      </c>
    </row>
    <row r="13" spans="4:147" x14ac:dyDescent="0.2">
      <c r="D13" t="s">
        <v>26</v>
      </c>
      <c r="E13" t="s">
        <v>5</v>
      </c>
      <c r="F13" s="2">
        <v>10</v>
      </c>
      <c r="G13" t="s">
        <v>9</v>
      </c>
      <c r="H13">
        <v>12</v>
      </c>
      <c r="I13">
        <f>Table1[[#This Row],[Class0]]+22</f>
        <v>34</v>
      </c>
      <c r="J13">
        <f>Table1[[#This Row],[Class1]]+22</f>
        <v>56</v>
      </c>
      <c r="K13">
        <f>Table1[[#This Row],[Class2]]+22</f>
        <v>78</v>
      </c>
      <c r="L13" s="3">
        <f>Table1[[#This Row],[Class3]]+22</f>
        <v>100</v>
      </c>
      <c r="M13" s="3">
        <f>Table1[[#This Row],[Class4]]+22</f>
        <v>122</v>
      </c>
      <c r="N13" s="3"/>
    </row>
    <row r="14" spans="4:147" x14ac:dyDescent="0.2">
      <c r="D14" t="s">
        <v>26</v>
      </c>
      <c r="E14" t="s">
        <v>7</v>
      </c>
      <c r="F14" s="2">
        <v>11</v>
      </c>
      <c r="G14" t="s">
        <v>10</v>
      </c>
      <c r="H14">
        <v>20</v>
      </c>
      <c r="I14">
        <f>Table1[[#This Row],[Class0]]+22</f>
        <v>42</v>
      </c>
      <c r="J14">
        <f>Table1[[#This Row],[Class1]]+22</f>
        <v>64</v>
      </c>
      <c r="K14">
        <f>Table1[[#This Row],[Class2]]+22</f>
        <v>86</v>
      </c>
      <c r="L14" s="3">
        <f>Table1[[#This Row],[Class3]]+22</f>
        <v>108</v>
      </c>
      <c r="M14" s="3">
        <f>Table1[[#This Row],[Class4]]+22</f>
        <v>130</v>
      </c>
      <c r="N14" s="3"/>
      <c r="O14" t="s">
        <v>32</v>
      </c>
      <c r="P14" t="str" cm="1">
        <f t="array" ref="P14:AK14">TRANSPOSE(G3:G24)</f>
        <v>INTERCEPT</v>
      </c>
      <c r="Q14" t="str">
        <v>father</v>
      </c>
      <c r="R14" t="str">
        <v>mother</v>
      </c>
      <c r="S14" t="str">
        <v>brothe</v>
      </c>
      <c r="T14" t="str">
        <v>sister</v>
      </c>
      <c r="U14" t="str">
        <v xml:space="preserve">patgf </v>
      </c>
      <c r="V14" t="str">
        <v xml:space="preserve">matgf </v>
      </c>
      <c r="W14" t="str">
        <v xml:space="preserve">patgm </v>
      </c>
      <c r="X14" t="str">
        <v xml:space="preserve">matgm </v>
      </c>
      <c r="Y14" t="str">
        <v xml:space="preserve">paths </v>
      </c>
      <c r="Z14" t="str">
        <v xml:space="preserve">maths </v>
      </c>
      <c r="AA14" t="str">
        <v xml:space="preserve">patun </v>
      </c>
      <c r="AB14" t="str">
        <v xml:space="preserve">matun </v>
      </c>
      <c r="AC14" t="str">
        <v xml:space="preserve">patau </v>
      </c>
      <c r="AD14" t="str">
        <v xml:space="preserve">matau </v>
      </c>
      <c r="AE14" t="str">
        <v>patcou</v>
      </c>
      <c r="AF14" t="str">
        <v>matcou</v>
      </c>
      <c r="AG14" t="str">
        <v xml:space="preserve">eth_nhwhite </v>
      </c>
      <c r="AH14" t="str">
        <v xml:space="preserve">eth_hisp    </v>
      </c>
      <c r="AI14" t="str">
        <v xml:space="preserve">eth_nhblack </v>
      </c>
      <c r="AJ14" t="str">
        <v xml:space="preserve">eth_nhasian </v>
      </c>
      <c r="AK14" t="str">
        <v xml:space="preserve">eth_nhother </v>
      </c>
    </row>
    <row r="15" spans="4:147" x14ac:dyDescent="0.2">
      <c r="D15" t="s">
        <v>26</v>
      </c>
      <c r="E15" t="s">
        <v>9</v>
      </c>
      <c r="F15" s="2">
        <v>12</v>
      </c>
      <c r="G15" t="s">
        <v>11</v>
      </c>
      <c r="H15">
        <v>13</v>
      </c>
      <c r="I15">
        <f>Table1[[#This Row],[Class0]]+22</f>
        <v>35</v>
      </c>
      <c r="J15">
        <f>Table1[[#This Row],[Class1]]+22</f>
        <v>57</v>
      </c>
      <c r="K15">
        <f>Table1[[#This Row],[Class2]]+22</f>
        <v>79</v>
      </c>
      <c r="L15" s="3">
        <f>Table1[[#This Row],[Class3]]+22</f>
        <v>101</v>
      </c>
      <c r="M15" s="3">
        <f>Table1[[#This Row],[Class4]]+22</f>
        <v>123</v>
      </c>
      <c r="N15" s="3"/>
    </row>
    <row r="16" spans="4:147" x14ac:dyDescent="0.2">
      <c r="D16" t="s">
        <v>26</v>
      </c>
      <c r="E16" t="s">
        <v>11</v>
      </c>
      <c r="F16" s="2">
        <v>13</v>
      </c>
      <c r="G16" t="s">
        <v>12</v>
      </c>
      <c r="H16">
        <v>15</v>
      </c>
      <c r="I16">
        <f>Table1[[#This Row],[Class0]]+22</f>
        <v>37</v>
      </c>
      <c r="J16">
        <f>Table1[[#This Row],[Class1]]+22</f>
        <v>59</v>
      </c>
      <c r="K16">
        <f>Table1[[#This Row],[Class2]]+22</f>
        <v>81</v>
      </c>
      <c r="L16" s="3">
        <f>Table1[[#This Row],[Class3]]+22</f>
        <v>103</v>
      </c>
      <c r="M16" s="3">
        <f>Table1[[#This Row],[Class4]]+22</f>
        <v>125</v>
      </c>
      <c r="N16" s="3"/>
    </row>
    <row r="17" spans="1:14" x14ac:dyDescent="0.2">
      <c r="D17" t="s">
        <v>26</v>
      </c>
      <c r="E17" t="s">
        <v>1</v>
      </c>
      <c r="F17" s="2">
        <v>14</v>
      </c>
      <c r="G17" t="s">
        <v>13</v>
      </c>
      <c r="H17">
        <v>8</v>
      </c>
      <c r="I17">
        <f>Table1[[#This Row],[Class0]]+22</f>
        <v>30</v>
      </c>
      <c r="J17">
        <f>Table1[[#This Row],[Class1]]+22</f>
        <v>52</v>
      </c>
      <c r="K17">
        <f>Table1[[#This Row],[Class2]]+22</f>
        <v>74</v>
      </c>
      <c r="L17" s="3">
        <f>Table1[[#This Row],[Class3]]+22</f>
        <v>96</v>
      </c>
      <c r="M17" s="3">
        <f>Table1[[#This Row],[Class4]]+22</f>
        <v>118</v>
      </c>
      <c r="N17" s="3"/>
    </row>
    <row r="18" spans="1:14" x14ac:dyDescent="0.2">
      <c r="D18" t="s">
        <v>26</v>
      </c>
      <c r="E18" t="s">
        <v>12</v>
      </c>
      <c r="F18" s="2">
        <v>15</v>
      </c>
      <c r="G18" t="s">
        <v>14</v>
      </c>
      <c r="H18">
        <v>16</v>
      </c>
      <c r="I18">
        <f>Table1[[#This Row],[Class0]]+22</f>
        <v>38</v>
      </c>
      <c r="J18">
        <f>Table1[[#This Row],[Class1]]+22</f>
        <v>60</v>
      </c>
      <c r="K18">
        <f>Table1[[#This Row],[Class2]]+22</f>
        <v>82</v>
      </c>
      <c r="L18" s="3">
        <f>Table1[[#This Row],[Class3]]+22</f>
        <v>104</v>
      </c>
      <c r="M18" s="3">
        <f>Table1[[#This Row],[Class4]]+22</f>
        <v>126</v>
      </c>
      <c r="N18" s="3"/>
    </row>
    <row r="19" spans="1:14" x14ac:dyDescent="0.2">
      <c r="D19" t="s">
        <v>26</v>
      </c>
      <c r="E19" t="s">
        <v>14</v>
      </c>
      <c r="F19" s="2">
        <v>16</v>
      </c>
      <c r="G19" t="s">
        <v>15</v>
      </c>
      <c r="H19">
        <v>9</v>
      </c>
      <c r="I19">
        <f>Table1[[#This Row],[Class0]]+22</f>
        <v>31</v>
      </c>
      <c r="J19">
        <f>Table1[[#This Row],[Class1]]+22</f>
        <v>53</v>
      </c>
      <c r="K19">
        <f>Table1[[#This Row],[Class2]]+22</f>
        <v>75</v>
      </c>
      <c r="L19" s="3">
        <f>Table1[[#This Row],[Class3]]+22</f>
        <v>97</v>
      </c>
      <c r="M19" s="3">
        <f>Table1[[#This Row],[Class4]]+22</f>
        <v>119</v>
      </c>
      <c r="N19" s="3"/>
    </row>
    <row r="20" spans="1:14" x14ac:dyDescent="0.2">
      <c r="D20" t="s">
        <v>26</v>
      </c>
      <c r="E20" t="s">
        <v>4</v>
      </c>
      <c r="F20" s="2">
        <v>17</v>
      </c>
      <c r="G20" t="s">
        <v>16</v>
      </c>
      <c r="H20">
        <v>5</v>
      </c>
      <c r="I20">
        <f>Table1[[#This Row],[Class0]]+22</f>
        <v>27</v>
      </c>
      <c r="J20">
        <f>Table1[[#This Row],[Class1]]+22</f>
        <v>49</v>
      </c>
      <c r="K20">
        <f>Table1[[#This Row],[Class2]]+22</f>
        <v>71</v>
      </c>
      <c r="L20" s="3">
        <f>Table1[[#This Row],[Class3]]+22</f>
        <v>93</v>
      </c>
      <c r="M20" s="3">
        <f>Table1[[#This Row],[Class4]]+22</f>
        <v>115</v>
      </c>
      <c r="N20" s="3"/>
    </row>
    <row r="21" spans="1:14" x14ac:dyDescent="0.2">
      <c r="D21" t="s">
        <v>26</v>
      </c>
      <c r="E21" t="s">
        <v>6</v>
      </c>
      <c r="F21" s="2">
        <v>18</v>
      </c>
      <c r="G21" t="s">
        <v>17</v>
      </c>
      <c r="H21">
        <v>1</v>
      </c>
      <c r="I21">
        <f>Table1[[#This Row],[Class0]]+22</f>
        <v>23</v>
      </c>
      <c r="J21">
        <f>Table1[[#This Row],[Class1]]+22</f>
        <v>45</v>
      </c>
      <c r="K21">
        <f>Table1[[#This Row],[Class2]]+22</f>
        <v>67</v>
      </c>
      <c r="L21" s="3">
        <f>Table1[[#This Row],[Class3]]+22</f>
        <v>89</v>
      </c>
      <c r="M21" s="3">
        <f>Table1[[#This Row],[Class4]]+22</f>
        <v>111</v>
      </c>
      <c r="N21" s="3"/>
    </row>
    <row r="22" spans="1:14" x14ac:dyDescent="0.2">
      <c r="D22" t="s">
        <v>26</v>
      </c>
      <c r="E22" t="s">
        <v>8</v>
      </c>
      <c r="F22" s="2">
        <v>19</v>
      </c>
      <c r="G22" t="s">
        <v>18</v>
      </c>
      <c r="H22">
        <v>3</v>
      </c>
      <c r="I22">
        <f>Table1[[#This Row],[Class0]]+22</f>
        <v>25</v>
      </c>
      <c r="J22">
        <f>Table1[[#This Row],[Class1]]+22</f>
        <v>47</v>
      </c>
      <c r="K22">
        <f>Table1[[#This Row],[Class2]]+22</f>
        <v>69</v>
      </c>
      <c r="L22" s="3">
        <f>Table1[[#This Row],[Class3]]+22</f>
        <v>91</v>
      </c>
      <c r="M22" s="3">
        <f>Table1[[#This Row],[Class4]]+22</f>
        <v>113</v>
      </c>
      <c r="N22" s="3"/>
    </row>
    <row r="23" spans="1:14" x14ac:dyDescent="0.2">
      <c r="D23" t="s">
        <v>26</v>
      </c>
      <c r="E23" t="s">
        <v>10</v>
      </c>
      <c r="F23" s="2">
        <v>20</v>
      </c>
      <c r="G23" t="s">
        <v>19</v>
      </c>
      <c r="H23">
        <v>2</v>
      </c>
      <c r="I23">
        <f>Table1[[#This Row],[Class0]]+22</f>
        <v>24</v>
      </c>
      <c r="J23">
        <f>Table1[[#This Row],[Class1]]+22</f>
        <v>46</v>
      </c>
      <c r="K23">
        <f>Table1[[#This Row],[Class2]]+22</f>
        <v>68</v>
      </c>
      <c r="L23" s="3">
        <f>Table1[[#This Row],[Class3]]+22</f>
        <v>90</v>
      </c>
      <c r="M23" s="3">
        <f>Table1[[#This Row],[Class4]]+22</f>
        <v>112</v>
      </c>
      <c r="N23" s="3"/>
    </row>
    <row r="24" spans="1:14" x14ac:dyDescent="0.2">
      <c r="D24" t="s">
        <v>26</v>
      </c>
      <c r="E24" t="s">
        <v>3</v>
      </c>
      <c r="F24" s="2">
        <v>21</v>
      </c>
      <c r="G24" t="s">
        <v>20</v>
      </c>
      <c r="H24">
        <v>4</v>
      </c>
      <c r="I24">
        <f>Table1[[#This Row],[Class0]]+22</f>
        <v>26</v>
      </c>
      <c r="J24">
        <f>Table1[[#This Row],[Class1]]+22</f>
        <v>48</v>
      </c>
      <c r="K24">
        <f>Table1[[#This Row],[Class2]]+22</f>
        <v>70</v>
      </c>
      <c r="L24" s="3">
        <f>Table1[[#This Row],[Class3]]+22</f>
        <v>92</v>
      </c>
      <c r="M24" s="3">
        <f>Table1[[#This Row],[Class4]]+22</f>
        <v>114</v>
      </c>
      <c r="N24" s="3"/>
    </row>
    <row r="25" spans="1:14" x14ac:dyDescent="0.2">
      <c r="D25" t="s">
        <v>27</v>
      </c>
      <c r="E25" t="s">
        <v>2</v>
      </c>
      <c r="F25" s="2">
        <v>22</v>
      </c>
      <c r="H25">
        <f ca="1">Table1[[#This Row],[Class0]]+22</f>
        <v>29</v>
      </c>
      <c r="I25" s="3">
        <f ca="1">Table1[[#This Row],[Class0]]+22</f>
        <v>22</v>
      </c>
      <c r="J25" s="3">
        <f ca="1">Table1[[#This Row],[Class1]]+22</f>
        <v>44</v>
      </c>
      <c r="K25" s="3">
        <f ca="1">Table1[[#This Row],[Class2]]+22</f>
        <v>66</v>
      </c>
      <c r="L25" s="3">
        <f ca="1">Table1[[#This Row],[Class3]]+22</f>
        <v>88</v>
      </c>
      <c r="M25" s="3">
        <f ca="1">Table1[[#This Row],[Class4]]+22</f>
        <v>110</v>
      </c>
    </row>
    <row r="26" spans="1:14" x14ac:dyDescent="0.2">
      <c r="D26" t="s">
        <v>27</v>
      </c>
      <c r="E26" t="s">
        <v>17</v>
      </c>
      <c r="F26" s="2">
        <v>23</v>
      </c>
      <c r="H26">
        <f ca="1">Table1[[#This Row],[Class0]]+22</f>
        <v>28</v>
      </c>
      <c r="I26" s="3">
        <f ca="1">Table1[[#This Row],[Class0]]+22</f>
        <v>22</v>
      </c>
      <c r="J26" s="3">
        <f ca="1">Table1[[#This Row],[Class1]]+22</f>
        <v>44</v>
      </c>
      <c r="K26" s="3">
        <f ca="1">Table1[[#This Row],[Class2]]+22</f>
        <v>66</v>
      </c>
      <c r="L26" s="3">
        <f ca="1">Table1[[#This Row],[Class3]]+22</f>
        <v>88</v>
      </c>
      <c r="M26" s="3">
        <f ca="1">Table1[[#This Row],[Class4]]+22</f>
        <v>110</v>
      </c>
    </row>
    <row r="27" spans="1:14" x14ac:dyDescent="0.2">
      <c r="D27" t="s">
        <v>27</v>
      </c>
      <c r="E27" t="s">
        <v>19</v>
      </c>
      <c r="F27" s="2">
        <v>24</v>
      </c>
      <c r="H27">
        <f ca="1">Table1[[#This Row],[Class0]]+22</f>
        <v>36</v>
      </c>
      <c r="I27" s="3">
        <f ca="1">Table1[[#This Row],[Class0]]+22</f>
        <v>22</v>
      </c>
      <c r="J27" s="3">
        <f ca="1">Table1[[#This Row],[Class1]]+22</f>
        <v>44</v>
      </c>
      <c r="K27" s="3">
        <f ca="1">Table1[[#This Row],[Class2]]+22</f>
        <v>66</v>
      </c>
      <c r="L27" s="3">
        <f ca="1">Table1[[#This Row],[Class3]]+22</f>
        <v>88</v>
      </c>
      <c r="M27" s="3">
        <f ca="1">Table1[[#This Row],[Class4]]+22</f>
        <v>110</v>
      </c>
    </row>
    <row r="28" spans="1:14" x14ac:dyDescent="0.2">
      <c r="D28" t="s">
        <v>27</v>
      </c>
      <c r="E28" t="s">
        <v>18</v>
      </c>
      <c r="F28" s="2">
        <v>25</v>
      </c>
      <c r="H28">
        <f ca="1">Table1[[#This Row],[Class0]]+22</f>
        <v>22</v>
      </c>
      <c r="I28" s="3">
        <f ca="1">Table1[[#This Row],[Class0]]+22</f>
        <v>22</v>
      </c>
      <c r="J28" s="3">
        <f ca="1">Table1[[#This Row],[Class1]]+22</f>
        <v>44</v>
      </c>
      <c r="K28" s="3">
        <f ca="1">Table1[[#This Row],[Class2]]+22</f>
        <v>66</v>
      </c>
      <c r="L28" s="3">
        <f ca="1">Table1[[#This Row],[Class3]]+22</f>
        <v>88</v>
      </c>
      <c r="M28" s="3">
        <f ca="1">Table1[[#This Row],[Class4]]+22</f>
        <v>110</v>
      </c>
    </row>
    <row r="29" spans="1:14" x14ac:dyDescent="0.2">
      <c r="D29" t="s">
        <v>27</v>
      </c>
      <c r="E29" t="s">
        <v>20</v>
      </c>
      <c r="F29" s="2">
        <v>26</v>
      </c>
      <c r="H29">
        <f ca="1">Table1[[#This Row],[Class0]]+22</f>
        <v>43</v>
      </c>
      <c r="I29" s="3">
        <f ca="1">Table1[[#This Row],[Class0]]+22</f>
        <v>22</v>
      </c>
      <c r="J29" s="3">
        <f ca="1">Table1[[#This Row],[Class1]]+22</f>
        <v>44</v>
      </c>
      <c r="K29" s="3">
        <f ca="1">Table1[[#This Row],[Class2]]+22</f>
        <v>66</v>
      </c>
      <c r="L29" s="3">
        <f ca="1">Table1[[#This Row],[Class3]]+22</f>
        <v>88</v>
      </c>
      <c r="M29" s="3">
        <f ca="1">Table1[[#This Row],[Class4]]+22</f>
        <v>110</v>
      </c>
    </row>
    <row r="30" spans="1:14" x14ac:dyDescent="0.2">
      <c r="D30" t="s">
        <v>27</v>
      </c>
      <c r="E30" t="s">
        <v>16</v>
      </c>
      <c r="F30" s="2">
        <v>27</v>
      </c>
      <c r="H30">
        <f ca="1">Table1[[#This Row],[Class0]]+22</f>
        <v>39</v>
      </c>
      <c r="I30" s="3">
        <f ca="1">Table1[[#This Row],[Class0]]+22</f>
        <v>22</v>
      </c>
      <c r="J30" s="3">
        <f ca="1">Table1[[#This Row],[Class1]]+22</f>
        <v>44</v>
      </c>
      <c r="K30" s="3">
        <f ca="1">Table1[[#This Row],[Class2]]+22</f>
        <v>66</v>
      </c>
      <c r="L30" s="3">
        <f ca="1">Table1[[#This Row],[Class3]]+22</f>
        <v>88</v>
      </c>
      <c r="M30" s="3">
        <f ca="1">Table1[[#This Row],[Class4]]+22</f>
        <v>110</v>
      </c>
    </row>
    <row r="31" spans="1:14" x14ac:dyDescent="0.2">
      <c r="A31" s="1"/>
      <c r="E31" t="s">
        <v>0</v>
      </c>
      <c r="F31" s="2">
        <v>28</v>
      </c>
      <c r="H31">
        <f ca="1">Table1[[#This Row],[Class0]]+22</f>
        <v>32</v>
      </c>
      <c r="I31" s="3">
        <f ca="1">Table1[[#This Row],[Class0]]+22</f>
        <v>22</v>
      </c>
      <c r="J31" s="3">
        <f ca="1">Table1[[#This Row],[Class1]]+22</f>
        <v>44</v>
      </c>
      <c r="K31" s="3">
        <f ca="1">Table1[[#This Row],[Class2]]+22</f>
        <v>66</v>
      </c>
      <c r="L31" s="3">
        <f ca="1">Table1[[#This Row],[Class3]]+22</f>
        <v>88</v>
      </c>
      <c r="M31" s="3">
        <f ca="1">Table1[[#This Row],[Class4]]+22</f>
        <v>110</v>
      </c>
    </row>
    <row r="32" spans="1:14" x14ac:dyDescent="0.2">
      <c r="E32" t="s">
        <v>21</v>
      </c>
      <c r="F32" s="2">
        <v>29</v>
      </c>
      <c r="H32">
        <f ca="1">Table1[[#This Row],[Class0]]+22</f>
        <v>40</v>
      </c>
      <c r="I32" s="3">
        <f ca="1">Table1[[#This Row],[Class0]]+22</f>
        <v>22</v>
      </c>
      <c r="J32" s="3">
        <f ca="1">Table1[[#This Row],[Class1]]+22</f>
        <v>44</v>
      </c>
      <c r="K32" s="3">
        <f ca="1">Table1[[#This Row],[Class2]]+22</f>
        <v>66</v>
      </c>
      <c r="L32" s="3">
        <f ca="1">Table1[[#This Row],[Class3]]+22</f>
        <v>88</v>
      </c>
      <c r="M32" s="3">
        <f ca="1">Table1[[#This Row],[Class4]]+22</f>
        <v>110</v>
      </c>
    </row>
    <row r="33" spans="4:13" x14ac:dyDescent="0.2">
      <c r="E33" t="s">
        <v>13</v>
      </c>
      <c r="F33" s="2">
        <v>30</v>
      </c>
      <c r="H33">
        <f ca="1">Table1[[#This Row],[Class0]]+22</f>
        <v>33</v>
      </c>
      <c r="I33" s="3">
        <f ca="1">Table1[[#This Row],[Class0]]+22</f>
        <v>22</v>
      </c>
      <c r="J33" s="3">
        <f ca="1">Table1[[#This Row],[Class1]]+22</f>
        <v>44</v>
      </c>
      <c r="K33" s="3">
        <f ca="1">Table1[[#This Row],[Class2]]+22</f>
        <v>66</v>
      </c>
      <c r="L33" s="3">
        <f ca="1">Table1[[#This Row],[Class3]]+22</f>
        <v>88</v>
      </c>
      <c r="M33" s="3">
        <f ca="1">Table1[[#This Row],[Class4]]+22</f>
        <v>110</v>
      </c>
    </row>
    <row r="34" spans="4:13" x14ac:dyDescent="0.2">
      <c r="E34" t="s">
        <v>15</v>
      </c>
      <c r="F34" s="2">
        <v>31</v>
      </c>
      <c r="H34">
        <f ca="1">Table1[[#This Row],[Class0]]+22</f>
        <v>41</v>
      </c>
      <c r="I34" s="3">
        <f ca="1">Table1[[#This Row],[Class0]]+22</f>
        <v>22</v>
      </c>
      <c r="J34" s="3">
        <f ca="1">Table1[[#This Row],[Class1]]+22</f>
        <v>44</v>
      </c>
      <c r="K34" s="3">
        <f ca="1">Table1[[#This Row],[Class2]]+22</f>
        <v>66</v>
      </c>
      <c r="L34" s="3">
        <f ca="1">Table1[[#This Row],[Class3]]+22</f>
        <v>88</v>
      </c>
      <c r="M34" s="3">
        <f ca="1">Table1[[#This Row],[Class4]]+22</f>
        <v>110</v>
      </c>
    </row>
    <row r="35" spans="4:13" x14ac:dyDescent="0.2">
      <c r="E35" t="s">
        <v>5</v>
      </c>
      <c r="F35" s="2">
        <v>32</v>
      </c>
      <c r="H35">
        <f ca="1">Table1[[#This Row],[Class0]]+22</f>
        <v>34</v>
      </c>
      <c r="I35" s="3">
        <f ca="1">Table1[[#This Row],[Class0]]+22</f>
        <v>22</v>
      </c>
      <c r="J35" s="3">
        <f ca="1">Table1[[#This Row],[Class1]]+22</f>
        <v>44</v>
      </c>
      <c r="K35" s="3">
        <f ca="1">Table1[[#This Row],[Class2]]+22</f>
        <v>66</v>
      </c>
      <c r="L35" s="3">
        <f ca="1">Table1[[#This Row],[Class3]]+22</f>
        <v>88</v>
      </c>
      <c r="M35" s="3">
        <f ca="1">Table1[[#This Row],[Class4]]+22</f>
        <v>110</v>
      </c>
    </row>
    <row r="36" spans="4:13" x14ac:dyDescent="0.2">
      <c r="E36" t="s">
        <v>7</v>
      </c>
      <c r="F36" s="2">
        <v>33</v>
      </c>
      <c r="H36">
        <f ca="1">Table1[[#This Row],[Class0]]+22</f>
        <v>42</v>
      </c>
      <c r="I36" s="3">
        <f ca="1">Table1[[#This Row],[Class0]]+22</f>
        <v>22</v>
      </c>
      <c r="J36" s="3">
        <f ca="1">Table1[[#This Row],[Class1]]+22</f>
        <v>44</v>
      </c>
      <c r="K36" s="3">
        <f ca="1">Table1[[#This Row],[Class2]]+22</f>
        <v>66</v>
      </c>
      <c r="L36" s="3">
        <f ca="1">Table1[[#This Row],[Class3]]+22</f>
        <v>88</v>
      </c>
      <c r="M36" s="3">
        <f ca="1">Table1[[#This Row],[Class4]]+22</f>
        <v>110</v>
      </c>
    </row>
    <row r="37" spans="4:13" x14ac:dyDescent="0.2">
      <c r="E37" t="s">
        <v>9</v>
      </c>
      <c r="F37" s="2">
        <v>34</v>
      </c>
      <c r="H37">
        <f ca="1">Table1[[#This Row],[Class0]]+22</f>
        <v>35</v>
      </c>
      <c r="I37" s="3">
        <f ca="1">Table1[[#This Row],[Class0]]+22</f>
        <v>22</v>
      </c>
      <c r="J37" s="3">
        <f ca="1">Table1[[#This Row],[Class1]]+22</f>
        <v>44</v>
      </c>
      <c r="K37" s="3">
        <f ca="1">Table1[[#This Row],[Class2]]+22</f>
        <v>66</v>
      </c>
      <c r="L37" s="3">
        <f ca="1">Table1[[#This Row],[Class3]]+22</f>
        <v>88</v>
      </c>
      <c r="M37" s="3">
        <f ca="1">Table1[[#This Row],[Class4]]+22</f>
        <v>110</v>
      </c>
    </row>
    <row r="38" spans="4:13" x14ac:dyDescent="0.2">
      <c r="E38" t="s">
        <v>11</v>
      </c>
      <c r="F38" s="2">
        <v>35</v>
      </c>
      <c r="H38">
        <f ca="1">Table1[[#This Row],[Class0]]+22</f>
        <v>37</v>
      </c>
      <c r="I38" s="3">
        <f ca="1">Table1[[#This Row],[Class0]]+22</f>
        <v>22</v>
      </c>
      <c r="J38" s="3">
        <f ca="1">Table1[[#This Row],[Class1]]+22</f>
        <v>44</v>
      </c>
      <c r="K38" s="3">
        <f ca="1">Table1[[#This Row],[Class2]]+22</f>
        <v>66</v>
      </c>
      <c r="L38" s="3">
        <f ca="1">Table1[[#This Row],[Class3]]+22</f>
        <v>88</v>
      </c>
      <c r="M38" s="3">
        <f ca="1">Table1[[#This Row],[Class4]]+22</f>
        <v>110</v>
      </c>
    </row>
    <row r="39" spans="4:13" x14ac:dyDescent="0.2">
      <c r="E39" t="s">
        <v>1</v>
      </c>
      <c r="F39" s="2">
        <v>36</v>
      </c>
      <c r="H39">
        <f ca="1">Table1[[#This Row],[Class0]]+22</f>
        <v>30</v>
      </c>
      <c r="I39" s="3">
        <f ca="1">Table1[[#This Row],[Class0]]+22</f>
        <v>22</v>
      </c>
      <c r="J39" s="3">
        <f ca="1">Table1[[#This Row],[Class1]]+22</f>
        <v>44</v>
      </c>
      <c r="K39" s="3">
        <f ca="1">Table1[[#This Row],[Class2]]+22</f>
        <v>66</v>
      </c>
      <c r="L39" s="3">
        <f ca="1">Table1[[#This Row],[Class3]]+22</f>
        <v>88</v>
      </c>
      <c r="M39" s="3">
        <f ca="1">Table1[[#This Row],[Class4]]+22</f>
        <v>110</v>
      </c>
    </row>
    <row r="40" spans="4:13" x14ac:dyDescent="0.2">
      <c r="E40" t="s">
        <v>12</v>
      </c>
      <c r="F40" s="2">
        <v>37</v>
      </c>
      <c r="H40">
        <f ca="1">Table1[[#This Row],[Class0]]+22</f>
        <v>38</v>
      </c>
      <c r="I40" s="3">
        <f ca="1">Table1[[#This Row],[Class0]]+22</f>
        <v>22</v>
      </c>
      <c r="J40" s="3">
        <f ca="1">Table1[[#This Row],[Class1]]+22</f>
        <v>44</v>
      </c>
      <c r="K40" s="3">
        <f ca="1">Table1[[#This Row],[Class2]]+22</f>
        <v>66</v>
      </c>
      <c r="L40" s="3">
        <f ca="1">Table1[[#This Row],[Class3]]+22</f>
        <v>88</v>
      </c>
      <c r="M40" s="3">
        <f ca="1">Table1[[#This Row],[Class4]]+22</f>
        <v>110</v>
      </c>
    </row>
    <row r="41" spans="4:13" x14ac:dyDescent="0.2">
      <c r="E41" t="s">
        <v>14</v>
      </c>
      <c r="F41" s="2">
        <v>38</v>
      </c>
      <c r="H41">
        <f ca="1">Table1[[#This Row],[Class0]]+22</f>
        <v>31</v>
      </c>
      <c r="I41" s="3">
        <f ca="1">Table1[[#This Row],[Class0]]+22</f>
        <v>22</v>
      </c>
      <c r="J41" s="3">
        <f ca="1">Table1[[#This Row],[Class1]]+22</f>
        <v>44</v>
      </c>
      <c r="K41" s="3">
        <f ca="1">Table1[[#This Row],[Class2]]+22</f>
        <v>66</v>
      </c>
      <c r="L41" s="3">
        <f ca="1">Table1[[#This Row],[Class3]]+22</f>
        <v>88</v>
      </c>
      <c r="M41" s="3">
        <f ca="1">Table1[[#This Row],[Class4]]+22</f>
        <v>110</v>
      </c>
    </row>
    <row r="42" spans="4:13" x14ac:dyDescent="0.2">
      <c r="E42" t="s">
        <v>4</v>
      </c>
      <c r="F42" s="2">
        <v>39</v>
      </c>
      <c r="H42">
        <f ca="1">Table1[[#This Row],[Class0]]+22</f>
        <v>27</v>
      </c>
      <c r="I42" s="3">
        <f ca="1">Table1[[#This Row],[Class0]]+22</f>
        <v>22</v>
      </c>
      <c r="J42" s="3">
        <f ca="1">Table1[[#This Row],[Class1]]+22</f>
        <v>44</v>
      </c>
      <c r="K42" s="3">
        <f ca="1">Table1[[#This Row],[Class2]]+22</f>
        <v>66</v>
      </c>
      <c r="L42" s="3">
        <f ca="1">Table1[[#This Row],[Class3]]+22</f>
        <v>88</v>
      </c>
      <c r="M42" s="3">
        <f ca="1">Table1[[#This Row],[Class4]]+22</f>
        <v>110</v>
      </c>
    </row>
    <row r="43" spans="4:13" x14ac:dyDescent="0.2">
      <c r="E43" t="s">
        <v>6</v>
      </c>
      <c r="F43" s="2">
        <v>40</v>
      </c>
      <c r="H43">
        <f ca="1">Table1[[#This Row],[Class0]]+22</f>
        <v>23</v>
      </c>
      <c r="I43" s="3">
        <f ca="1">Table1[[#This Row],[Class0]]+22</f>
        <v>22</v>
      </c>
      <c r="J43" s="3">
        <f ca="1">Table1[[#This Row],[Class1]]+22</f>
        <v>44</v>
      </c>
      <c r="K43" s="3">
        <f ca="1">Table1[[#This Row],[Class2]]+22</f>
        <v>66</v>
      </c>
      <c r="L43" s="3">
        <f ca="1">Table1[[#This Row],[Class3]]+22</f>
        <v>88</v>
      </c>
      <c r="M43" s="3">
        <f ca="1">Table1[[#This Row],[Class4]]+22</f>
        <v>110</v>
      </c>
    </row>
    <row r="44" spans="4:13" x14ac:dyDescent="0.2">
      <c r="E44" t="s">
        <v>8</v>
      </c>
      <c r="F44" s="2">
        <v>41</v>
      </c>
      <c r="H44">
        <f ca="1">Table1[[#This Row],[Class0]]+22</f>
        <v>25</v>
      </c>
      <c r="I44" s="3">
        <f ca="1">Table1[[#This Row],[Class0]]+22</f>
        <v>22</v>
      </c>
      <c r="J44" s="3">
        <f ca="1">Table1[[#This Row],[Class1]]+22</f>
        <v>44</v>
      </c>
      <c r="K44" s="3">
        <f ca="1">Table1[[#This Row],[Class2]]+22</f>
        <v>66</v>
      </c>
      <c r="L44" s="3">
        <f ca="1">Table1[[#This Row],[Class3]]+22</f>
        <v>88</v>
      </c>
      <c r="M44" s="3">
        <f ca="1">Table1[[#This Row],[Class4]]+22</f>
        <v>110</v>
      </c>
    </row>
    <row r="45" spans="4:13" x14ac:dyDescent="0.2">
      <c r="E45" t="s">
        <v>10</v>
      </c>
      <c r="F45" s="2">
        <v>42</v>
      </c>
      <c r="H45">
        <f ca="1">Table1[[#This Row],[Class0]]+22</f>
        <v>24</v>
      </c>
      <c r="I45" s="3">
        <f ca="1">Table1[[#This Row],[Class0]]+22</f>
        <v>22</v>
      </c>
      <c r="J45" s="3">
        <f ca="1">Table1[[#This Row],[Class1]]+22</f>
        <v>44</v>
      </c>
      <c r="K45" s="3">
        <f ca="1">Table1[[#This Row],[Class2]]+22</f>
        <v>66</v>
      </c>
      <c r="L45" s="3">
        <f ca="1">Table1[[#This Row],[Class3]]+22</f>
        <v>88</v>
      </c>
      <c r="M45" s="3">
        <f ca="1">Table1[[#This Row],[Class4]]+22</f>
        <v>110</v>
      </c>
    </row>
    <row r="46" spans="4:13" x14ac:dyDescent="0.2">
      <c r="E46" t="s">
        <v>3</v>
      </c>
      <c r="F46" s="2">
        <v>43</v>
      </c>
      <c r="H46">
        <f ca="1">Table1[[#This Row],[Class0]]+22</f>
        <v>26</v>
      </c>
      <c r="I46" s="3">
        <f ca="1">Table1[[#This Row],[Class0]]+22</f>
        <v>22</v>
      </c>
      <c r="J46" s="3">
        <f ca="1">Table1[[#This Row],[Class1]]+22</f>
        <v>44</v>
      </c>
      <c r="K46" s="3">
        <f ca="1">Table1[[#This Row],[Class2]]+22</f>
        <v>66</v>
      </c>
      <c r="L46" s="3">
        <f ca="1">Table1[[#This Row],[Class3]]+22</f>
        <v>88</v>
      </c>
      <c r="M46" s="3">
        <f ca="1">Table1[[#This Row],[Class4]]+22</f>
        <v>110</v>
      </c>
    </row>
    <row r="47" spans="4:13" x14ac:dyDescent="0.2">
      <c r="D47" t="s">
        <v>28</v>
      </c>
      <c r="E47" t="s">
        <v>2</v>
      </c>
      <c r="F47" s="2">
        <v>44</v>
      </c>
      <c r="I47" s="3">
        <f>Table1[[#This Row],[Class0]]+22</f>
        <v>22</v>
      </c>
      <c r="J47" s="3">
        <f>Table1[[#This Row],[Class1]]+22</f>
        <v>44</v>
      </c>
      <c r="K47" s="3">
        <f>Table1[[#This Row],[Class2]]+22</f>
        <v>66</v>
      </c>
      <c r="L47" s="3">
        <f>Table1[[#This Row],[Class3]]+22</f>
        <v>88</v>
      </c>
      <c r="M47" s="3">
        <f>Table1[[#This Row],[Class4]]+22</f>
        <v>110</v>
      </c>
    </row>
    <row r="48" spans="4:13" x14ac:dyDescent="0.2">
      <c r="E48" t="s">
        <v>17</v>
      </c>
      <c r="F48" s="2">
        <v>45</v>
      </c>
      <c r="I48" s="3">
        <f>Table1[[#This Row],[Class0]]+22</f>
        <v>22</v>
      </c>
      <c r="J48" s="3">
        <f>Table1[[#This Row],[Class1]]+22</f>
        <v>44</v>
      </c>
      <c r="K48" s="3">
        <f>Table1[[#This Row],[Class2]]+22</f>
        <v>66</v>
      </c>
      <c r="L48" s="3">
        <f>Table1[[#This Row],[Class3]]+22</f>
        <v>88</v>
      </c>
      <c r="M48" s="3">
        <f>Table1[[#This Row],[Class4]]+22</f>
        <v>110</v>
      </c>
    </row>
    <row r="49" spans="5:13" x14ac:dyDescent="0.2">
      <c r="E49" t="s">
        <v>19</v>
      </c>
      <c r="F49" s="2">
        <v>46</v>
      </c>
      <c r="I49" s="3">
        <f>Table1[[#This Row],[Class0]]+22</f>
        <v>22</v>
      </c>
      <c r="J49" s="3">
        <f>Table1[[#This Row],[Class1]]+22</f>
        <v>44</v>
      </c>
      <c r="K49" s="3">
        <f>Table1[[#This Row],[Class2]]+22</f>
        <v>66</v>
      </c>
      <c r="L49" s="3">
        <f>Table1[[#This Row],[Class3]]+22</f>
        <v>88</v>
      </c>
      <c r="M49" s="3">
        <f>Table1[[#This Row],[Class4]]+22</f>
        <v>110</v>
      </c>
    </row>
    <row r="50" spans="5:13" x14ac:dyDescent="0.2">
      <c r="E50" t="s">
        <v>18</v>
      </c>
      <c r="F50" s="2">
        <v>47</v>
      </c>
      <c r="I50" s="3">
        <f>Table1[[#This Row],[Class0]]+22</f>
        <v>22</v>
      </c>
      <c r="J50" s="3">
        <f>Table1[[#This Row],[Class1]]+22</f>
        <v>44</v>
      </c>
      <c r="K50" s="3">
        <f>Table1[[#This Row],[Class2]]+22</f>
        <v>66</v>
      </c>
      <c r="L50" s="3">
        <f>Table1[[#This Row],[Class3]]+22</f>
        <v>88</v>
      </c>
      <c r="M50" s="3">
        <f>Table1[[#This Row],[Class4]]+22</f>
        <v>110</v>
      </c>
    </row>
    <row r="51" spans="5:13" x14ac:dyDescent="0.2">
      <c r="E51" t="s">
        <v>20</v>
      </c>
      <c r="F51" s="2">
        <v>48</v>
      </c>
      <c r="I51" s="3">
        <f>Table1[[#This Row],[Class0]]+22</f>
        <v>22</v>
      </c>
      <c r="J51" s="3">
        <f>Table1[[#This Row],[Class1]]+22</f>
        <v>44</v>
      </c>
      <c r="K51" s="3">
        <f>Table1[[#This Row],[Class2]]+22</f>
        <v>66</v>
      </c>
      <c r="L51" s="3">
        <f>Table1[[#This Row],[Class3]]+22</f>
        <v>88</v>
      </c>
      <c r="M51" s="3">
        <f>Table1[[#This Row],[Class4]]+22</f>
        <v>110</v>
      </c>
    </row>
    <row r="52" spans="5:13" x14ac:dyDescent="0.2">
      <c r="E52" t="s">
        <v>16</v>
      </c>
      <c r="F52" s="2">
        <v>49</v>
      </c>
      <c r="I52" s="3">
        <f>Table1[[#This Row],[Class0]]+22</f>
        <v>22</v>
      </c>
      <c r="J52" s="3">
        <f>Table1[[#This Row],[Class1]]+22</f>
        <v>44</v>
      </c>
      <c r="K52" s="3">
        <f>Table1[[#This Row],[Class2]]+22</f>
        <v>66</v>
      </c>
      <c r="L52" s="3">
        <f>Table1[[#This Row],[Class3]]+22</f>
        <v>88</v>
      </c>
      <c r="M52" s="3">
        <f>Table1[[#This Row],[Class4]]+22</f>
        <v>110</v>
      </c>
    </row>
    <row r="53" spans="5:13" x14ac:dyDescent="0.2">
      <c r="E53" t="s">
        <v>0</v>
      </c>
      <c r="F53" s="2">
        <v>50</v>
      </c>
      <c r="I53" s="3">
        <f>Table1[[#This Row],[Class0]]+22</f>
        <v>22</v>
      </c>
      <c r="J53" s="3">
        <f>Table1[[#This Row],[Class1]]+22</f>
        <v>44</v>
      </c>
      <c r="K53" s="3">
        <f>Table1[[#This Row],[Class2]]+22</f>
        <v>66</v>
      </c>
      <c r="L53" s="3">
        <f>Table1[[#This Row],[Class3]]+22</f>
        <v>88</v>
      </c>
      <c r="M53" s="3">
        <f>Table1[[#This Row],[Class4]]+22</f>
        <v>110</v>
      </c>
    </row>
    <row r="54" spans="5:13" x14ac:dyDescent="0.2">
      <c r="E54" t="s">
        <v>21</v>
      </c>
      <c r="F54" s="2">
        <v>51</v>
      </c>
      <c r="I54" s="3">
        <f>Table1[[#This Row],[Class0]]+22</f>
        <v>22</v>
      </c>
      <c r="J54" s="3">
        <f>Table1[[#This Row],[Class1]]+22</f>
        <v>44</v>
      </c>
      <c r="K54" s="3">
        <f>Table1[[#This Row],[Class2]]+22</f>
        <v>66</v>
      </c>
      <c r="L54" s="3">
        <f>Table1[[#This Row],[Class3]]+22</f>
        <v>88</v>
      </c>
      <c r="M54" s="3">
        <f>Table1[[#This Row],[Class4]]+22</f>
        <v>110</v>
      </c>
    </row>
    <row r="55" spans="5:13" x14ac:dyDescent="0.2">
      <c r="E55" t="s">
        <v>13</v>
      </c>
      <c r="F55" s="2">
        <v>52</v>
      </c>
      <c r="I55" s="3">
        <f>Table1[[#This Row],[Class0]]+22</f>
        <v>22</v>
      </c>
      <c r="J55" s="3">
        <f>Table1[[#This Row],[Class1]]+22</f>
        <v>44</v>
      </c>
      <c r="K55" s="3">
        <f>Table1[[#This Row],[Class2]]+22</f>
        <v>66</v>
      </c>
      <c r="L55" s="3">
        <f>Table1[[#This Row],[Class3]]+22</f>
        <v>88</v>
      </c>
      <c r="M55" s="3">
        <f>Table1[[#This Row],[Class4]]+22</f>
        <v>110</v>
      </c>
    </row>
    <row r="56" spans="5:13" x14ac:dyDescent="0.2">
      <c r="E56" t="s">
        <v>15</v>
      </c>
      <c r="F56" s="2">
        <v>53</v>
      </c>
      <c r="I56" s="3">
        <f>Table1[[#This Row],[Class0]]+22</f>
        <v>22</v>
      </c>
      <c r="J56" s="3">
        <f>Table1[[#This Row],[Class1]]+22</f>
        <v>44</v>
      </c>
      <c r="K56" s="3">
        <f>Table1[[#This Row],[Class2]]+22</f>
        <v>66</v>
      </c>
      <c r="L56" s="3">
        <f>Table1[[#This Row],[Class3]]+22</f>
        <v>88</v>
      </c>
      <c r="M56" s="3">
        <f>Table1[[#This Row],[Class4]]+22</f>
        <v>110</v>
      </c>
    </row>
    <row r="57" spans="5:13" x14ac:dyDescent="0.2">
      <c r="E57" t="s">
        <v>5</v>
      </c>
      <c r="F57" s="2">
        <v>54</v>
      </c>
      <c r="I57" s="3">
        <f>Table1[[#This Row],[Class0]]+22</f>
        <v>22</v>
      </c>
      <c r="J57" s="3">
        <f>Table1[[#This Row],[Class1]]+22</f>
        <v>44</v>
      </c>
      <c r="K57" s="3">
        <f>Table1[[#This Row],[Class2]]+22</f>
        <v>66</v>
      </c>
      <c r="L57" s="3">
        <f>Table1[[#This Row],[Class3]]+22</f>
        <v>88</v>
      </c>
      <c r="M57" s="3">
        <f>Table1[[#This Row],[Class4]]+22</f>
        <v>110</v>
      </c>
    </row>
    <row r="58" spans="5:13" x14ac:dyDescent="0.2">
      <c r="E58" t="s">
        <v>7</v>
      </c>
      <c r="F58" s="2">
        <v>55</v>
      </c>
      <c r="I58" s="3">
        <f>Table1[[#This Row],[Class0]]+22</f>
        <v>22</v>
      </c>
      <c r="J58" s="3">
        <f>Table1[[#This Row],[Class1]]+22</f>
        <v>44</v>
      </c>
      <c r="K58" s="3">
        <f>Table1[[#This Row],[Class2]]+22</f>
        <v>66</v>
      </c>
      <c r="L58" s="3">
        <f>Table1[[#This Row],[Class3]]+22</f>
        <v>88</v>
      </c>
      <c r="M58" s="3">
        <f>Table1[[#This Row],[Class4]]+22</f>
        <v>110</v>
      </c>
    </row>
    <row r="59" spans="5:13" x14ac:dyDescent="0.2">
      <c r="E59" t="s">
        <v>9</v>
      </c>
      <c r="F59" s="2">
        <v>56</v>
      </c>
      <c r="I59" s="3">
        <f>Table1[[#This Row],[Class0]]+22</f>
        <v>22</v>
      </c>
      <c r="J59" s="3">
        <f>Table1[[#This Row],[Class1]]+22</f>
        <v>44</v>
      </c>
      <c r="K59" s="3">
        <f>Table1[[#This Row],[Class2]]+22</f>
        <v>66</v>
      </c>
      <c r="L59" s="3">
        <f>Table1[[#This Row],[Class3]]+22</f>
        <v>88</v>
      </c>
      <c r="M59" s="3">
        <f>Table1[[#This Row],[Class4]]+22</f>
        <v>110</v>
      </c>
    </row>
    <row r="60" spans="5:13" x14ac:dyDescent="0.2">
      <c r="E60" t="s">
        <v>11</v>
      </c>
      <c r="F60" s="2">
        <v>57</v>
      </c>
      <c r="I60" s="3">
        <f>Table1[[#This Row],[Class0]]+22</f>
        <v>22</v>
      </c>
      <c r="J60" s="3">
        <f>Table1[[#This Row],[Class1]]+22</f>
        <v>44</v>
      </c>
      <c r="K60" s="3">
        <f>Table1[[#This Row],[Class2]]+22</f>
        <v>66</v>
      </c>
      <c r="L60" s="3">
        <f>Table1[[#This Row],[Class3]]+22</f>
        <v>88</v>
      </c>
      <c r="M60" s="3">
        <f>Table1[[#This Row],[Class4]]+22</f>
        <v>110</v>
      </c>
    </row>
    <row r="61" spans="5:13" x14ac:dyDescent="0.2">
      <c r="E61" t="s">
        <v>1</v>
      </c>
      <c r="F61" s="2">
        <v>58</v>
      </c>
      <c r="I61" s="3">
        <f>Table1[[#This Row],[Class0]]+22</f>
        <v>22</v>
      </c>
      <c r="J61" s="3">
        <f>Table1[[#This Row],[Class1]]+22</f>
        <v>44</v>
      </c>
      <c r="K61" s="3">
        <f>Table1[[#This Row],[Class2]]+22</f>
        <v>66</v>
      </c>
      <c r="L61" s="3">
        <f>Table1[[#This Row],[Class3]]+22</f>
        <v>88</v>
      </c>
      <c r="M61" s="3">
        <f>Table1[[#This Row],[Class4]]+22</f>
        <v>110</v>
      </c>
    </row>
    <row r="62" spans="5:13" x14ac:dyDescent="0.2">
      <c r="E62" t="s">
        <v>12</v>
      </c>
      <c r="F62" s="2">
        <v>59</v>
      </c>
      <c r="I62" s="3">
        <f>Table1[[#This Row],[Class0]]+22</f>
        <v>22</v>
      </c>
      <c r="J62" s="3">
        <f>Table1[[#This Row],[Class1]]+22</f>
        <v>44</v>
      </c>
      <c r="K62" s="3">
        <f>Table1[[#This Row],[Class2]]+22</f>
        <v>66</v>
      </c>
      <c r="L62" s="3">
        <f>Table1[[#This Row],[Class3]]+22</f>
        <v>88</v>
      </c>
      <c r="M62" s="3">
        <f>Table1[[#This Row],[Class4]]+22</f>
        <v>110</v>
      </c>
    </row>
    <row r="63" spans="5:13" x14ac:dyDescent="0.2">
      <c r="E63" t="s">
        <v>14</v>
      </c>
      <c r="F63" s="2">
        <v>60</v>
      </c>
      <c r="I63" s="3">
        <f>Table1[[#This Row],[Class0]]+22</f>
        <v>22</v>
      </c>
      <c r="J63" s="3">
        <f>Table1[[#This Row],[Class1]]+22</f>
        <v>44</v>
      </c>
      <c r="K63" s="3">
        <f>Table1[[#This Row],[Class2]]+22</f>
        <v>66</v>
      </c>
      <c r="L63" s="3">
        <f>Table1[[#This Row],[Class3]]+22</f>
        <v>88</v>
      </c>
      <c r="M63" s="3">
        <f>Table1[[#This Row],[Class4]]+22</f>
        <v>110</v>
      </c>
    </row>
    <row r="64" spans="5:13" x14ac:dyDescent="0.2">
      <c r="E64" t="s">
        <v>4</v>
      </c>
      <c r="F64" s="2">
        <v>61</v>
      </c>
      <c r="I64" s="3">
        <f>Table1[[#This Row],[Class0]]+22</f>
        <v>22</v>
      </c>
      <c r="J64" s="3">
        <f>Table1[[#This Row],[Class1]]+22</f>
        <v>44</v>
      </c>
      <c r="K64" s="3">
        <f>Table1[[#This Row],[Class2]]+22</f>
        <v>66</v>
      </c>
      <c r="L64" s="3">
        <f>Table1[[#This Row],[Class3]]+22</f>
        <v>88</v>
      </c>
      <c r="M64" s="3">
        <f>Table1[[#This Row],[Class4]]+22</f>
        <v>110</v>
      </c>
    </row>
    <row r="65" spans="4:13" x14ac:dyDescent="0.2">
      <c r="E65" t="s">
        <v>6</v>
      </c>
      <c r="F65" s="2">
        <v>62</v>
      </c>
      <c r="I65" s="3">
        <f>Table1[[#This Row],[Class0]]+22</f>
        <v>22</v>
      </c>
      <c r="J65" s="3">
        <f>Table1[[#This Row],[Class1]]+22</f>
        <v>44</v>
      </c>
      <c r="K65" s="3">
        <f>Table1[[#This Row],[Class2]]+22</f>
        <v>66</v>
      </c>
      <c r="L65" s="3">
        <f>Table1[[#This Row],[Class3]]+22</f>
        <v>88</v>
      </c>
      <c r="M65" s="3">
        <f>Table1[[#This Row],[Class4]]+22</f>
        <v>110</v>
      </c>
    </row>
    <row r="66" spans="4:13" x14ac:dyDescent="0.2">
      <c r="E66" t="s">
        <v>8</v>
      </c>
      <c r="F66" s="2">
        <v>63</v>
      </c>
      <c r="I66" s="3">
        <f>Table1[[#This Row],[Class0]]+22</f>
        <v>22</v>
      </c>
      <c r="J66" s="3">
        <f>Table1[[#This Row],[Class1]]+22</f>
        <v>44</v>
      </c>
      <c r="K66" s="3">
        <f>Table1[[#This Row],[Class2]]+22</f>
        <v>66</v>
      </c>
      <c r="L66" s="3">
        <f>Table1[[#This Row],[Class3]]+22</f>
        <v>88</v>
      </c>
      <c r="M66" s="3">
        <f>Table1[[#This Row],[Class4]]+22</f>
        <v>110</v>
      </c>
    </row>
    <row r="67" spans="4:13" x14ac:dyDescent="0.2">
      <c r="E67" t="s">
        <v>10</v>
      </c>
      <c r="F67" s="2">
        <v>64</v>
      </c>
      <c r="I67" s="3">
        <f>Table1[[#This Row],[Class0]]+22</f>
        <v>22</v>
      </c>
      <c r="J67" s="3">
        <f>Table1[[#This Row],[Class1]]+22</f>
        <v>44</v>
      </c>
      <c r="K67" s="3">
        <f>Table1[[#This Row],[Class2]]+22</f>
        <v>66</v>
      </c>
      <c r="L67" s="3">
        <f>Table1[[#This Row],[Class3]]+22</f>
        <v>88</v>
      </c>
      <c r="M67" s="3">
        <f>Table1[[#This Row],[Class4]]+22</f>
        <v>110</v>
      </c>
    </row>
    <row r="68" spans="4:13" x14ac:dyDescent="0.2">
      <c r="E68" t="s">
        <v>3</v>
      </c>
      <c r="F68" s="2">
        <v>65</v>
      </c>
      <c r="I68" s="3">
        <f>Table1[[#This Row],[Class0]]+22</f>
        <v>22</v>
      </c>
      <c r="J68" s="3">
        <f>Table1[[#This Row],[Class1]]+22</f>
        <v>44</v>
      </c>
      <c r="K68" s="3">
        <f>Table1[[#This Row],[Class2]]+22</f>
        <v>66</v>
      </c>
      <c r="L68" s="3">
        <f>Table1[[#This Row],[Class3]]+22</f>
        <v>88</v>
      </c>
      <c r="M68" s="3">
        <f>Table1[[#This Row],[Class4]]+22</f>
        <v>110</v>
      </c>
    </row>
    <row r="69" spans="4:13" x14ac:dyDescent="0.2">
      <c r="D69" t="s">
        <v>29</v>
      </c>
      <c r="E69" t="s">
        <v>2</v>
      </c>
      <c r="F69" s="2">
        <v>66</v>
      </c>
      <c r="I69" s="3">
        <f>Table1[[#This Row],[Class0]]+22</f>
        <v>22</v>
      </c>
      <c r="J69" s="3">
        <f>Table1[[#This Row],[Class1]]+22</f>
        <v>44</v>
      </c>
      <c r="K69" s="3">
        <f>Table1[[#This Row],[Class2]]+22</f>
        <v>66</v>
      </c>
      <c r="L69" s="3">
        <f>Table1[[#This Row],[Class3]]+22</f>
        <v>88</v>
      </c>
      <c r="M69" s="3">
        <f>Table1[[#This Row],[Class4]]+22</f>
        <v>110</v>
      </c>
    </row>
    <row r="70" spans="4:13" x14ac:dyDescent="0.2">
      <c r="E70" t="s">
        <v>17</v>
      </c>
      <c r="F70" s="2">
        <v>67</v>
      </c>
      <c r="I70" s="3">
        <f>Table1[[#This Row],[Class0]]+22</f>
        <v>22</v>
      </c>
      <c r="J70" s="3">
        <f>Table1[[#This Row],[Class1]]+22</f>
        <v>44</v>
      </c>
      <c r="K70" s="3">
        <f>Table1[[#This Row],[Class2]]+22</f>
        <v>66</v>
      </c>
      <c r="L70" s="3">
        <f>Table1[[#This Row],[Class3]]+22</f>
        <v>88</v>
      </c>
      <c r="M70" s="3">
        <f>Table1[[#This Row],[Class4]]+22</f>
        <v>110</v>
      </c>
    </row>
    <row r="71" spans="4:13" x14ac:dyDescent="0.2">
      <c r="E71" t="s">
        <v>19</v>
      </c>
      <c r="F71" s="2">
        <v>68</v>
      </c>
      <c r="I71" s="3">
        <f>Table1[[#This Row],[Class0]]+22</f>
        <v>22</v>
      </c>
      <c r="J71" s="3">
        <f>Table1[[#This Row],[Class1]]+22</f>
        <v>44</v>
      </c>
      <c r="K71" s="3">
        <f>Table1[[#This Row],[Class2]]+22</f>
        <v>66</v>
      </c>
      <c r="L71" s="3">
        <f>Table1[[#This Row],[Class3]]+22</f>
        <v>88</v>
      </c>
      <c r="M71" s="3">
        <f>Table1[[#This Row],[Class4]]+22</f>
        <v>110</v>
      </c>
    </row>
    <row r="72" spans="4:13" x14ac:dyDescent="0.2">
      <c r="E72" t="s">
        <v>18</v>
      </c>
      <c r="F72" s="2">
        <v>69</v>
      </c>
      <c r="I72" s="3">
        <f>Table1[[#This Row],[Class0]]+22</f>
        <v>22</v>
      </c>
      <c r="J72" s="3">
        <f>Table1[[#This Row],[Class1]]+22</f>
        <v>44</v>
      </c>
      <c r="K72" s="3">
        <f>Table1[[#This Row],[Class2]]+22</f>
        <v>66</v>
      </c>
      <c r="L72" s="3">
        <f>Table1[[#This Row],[Class3]]+22</f>
        <v>88</v>
      </c>
      <c r="M72" s="3">
        <f>Table1[[#This Row],[Class4]]+22</f>
        <v>110</v>
      </c>
    </row>
    <row r="73" spans="4:13" x14ac:dyDescent="0.2">
      <c r="E73" t="s">
        <v>20</v>
      </c>
      <c r="F73" s="2">
        <v>70</v>
      </c>
      <c r="I73" s="3">
        <f>Table1[[#This Row],[Class0]]+22</f>
        <v>22</v>
      </c>
      <c r="J73" s="3">
        <f>Table1[[#This Row],[Class1]]+22</f>
        <v>44</v>
      </c>
      <c r="K73" s="3">
        <f>Table1[[#This Row],[Class2]]+22</f>
        <v>66</v>
      </c>
      <c r="L73" s="3">
        <f>Table1[[#This Row],[Class3]]+22</f>
        <v>88</v>
      </c>
      <c r="M73" s="3">
        <f>Table1[[#This Row],[Class4]]+22</f>
        <v>110</v>
      </c>
    </row>
    <row r="74" spans="4:13" x14ac:dyDescent="0.2">
      <c r="E74" t="s">
        <v>16</v>
      </c>
      <c r="F74" s="2">
        <v>71</v>
      </c>
      <c r="I74" s="3">
        <f>Table1[[#This Row],[Class0]]+22</f>
        <v>22</v>
      </c>
      <c r="J74" s="3">
        <f>Table1[[#This Row],[Class1]]+22</f>
        <v>44</v>
      </c>
      <c r="K74" s="3">
        <f>Table1[[#This Row],[Class2]]+22</f>
        <v>66</v>
      </c>
      <c r="L74" s="3">
        <f>Table1[[#This Row],[Class3]]+22</f>
        <v>88</v>
      </c>
      <c r="M74" s="3">
        <f>Table1[[#This Row],[Class4]]+22</f>
        <v>110</v>
      </c>
    </row>
    <row r="75" spans="4:13" x14ac:dyDescent="0.2">
      <c r="E75" t="s">
        <v>0</v>
      </c>
      <c r="F75" s="2">
        <v>72</v>
      </c>
      <c r="I75" s="3">
        <f>Table1[[#This Row],[Class0]]+22</f>
        <v>22</v>
      </c>
      <c r="J75" s="3">
        <f>Table1[[#This Row],[Class1]]+22</f>
        <v>44</v>
      </c>
      <c r="K75" s="3">
        <f>Table1[[#This Row],[Class2]]+22</f>
        <v>66</v>
      </c>
      <c r="L75" s="3">
        <f>Table1[[#This Row],[Class3]]+22</f>
        <v>88</v>
      </c>
      <c r="M75" s="3">
        <f>Table1[[#This Row],[Class4]]+22</f>
        <v>110</v>
      </c>
    </row>
    <row r="76" spans="4:13" x14ac:dyDescent="0.2">
      <c r="E76" t="s">
        <v>21</v>
      </c>
      <c r="F76" s="2">
        <v>73</v>
      </c>
      <c r="I76" s="3">
        <f>Table1[[#This Row],[Class0]]+22</f>
        <v>22</v>
      </c>
      <c r="J76" s="3">
        <f>Table1[[#This Row],[Class1]]+22</f>
        <v>44</v>
      </c>
      <c r="K76" s="3">
        <f>Table1[[#This Row],[Class2]]+22</f>
        <v>66</v>
      </c>
      <c r="L76" s="3">
        <f>Table1[[#This Row],[Class3]]+22</f>
        <v>88</v>
      </c>
      <c r="M76" s="3">
        <f>Table1[[#This Row],[Class4]]+22</f>
        <v>110</v>
      </c>
    </row>
    <row r="77" spans="4:13" x14ac:dyDescent="0.2">
      <c r="E77" t="s">
        <v>13</v>
      </c>
      <c r="F77" s="2">
        <v>74</v>
      </c>
      <c r="I77" s="3">
        <f>Table1[[#This Row],[Class0]]+22</f>
        <v>22</v>
      </c>
      <c r="J77" s="3">
        <f>Table1[[#This Row],[Class1]]+22</f>
        <v>44</v>
      </c>
      <c r="K77" s="3">
        <f>Table1[[#This Row],[Class2]]+22</f>
        <v>66</v>
      </c>
      <c r="L77" s="3">
        <f>Table1[[#This Row],[Class3]]+22</f>
        <v>88</v>
      </c>
      <c r="M77" s="3">
        <f>Table1[[#This Row],[Class4]]+22</f>
        <v>110</v>
      </c>
    </row>
    <row r="78" spans="4:13" x14ac:dyDescent="0.2">
      <c r="E78" t="s">
        <v>15</v>
      </c>
      <c r="F78" s="2">
        <v>75</v>
      </c>
      <c r="I78" s="3">
        <f>Table1[[#This Row],[Class0]]+22</f>
        <v>22</v>
      </c>
      <c r="J78" s="3">
        <f>Table1[[#This Row],[Class1]]+22</f>
        <v>44</v>
      </c>
      <c r="K78" s="3">
        <f>Table1[[#This Row],[Class2]]+22</f>
        <v>66</v>
      </c>
      <c r="L78" s="3">
        <f>Table1[[#This Row],[Class3]]+22</f>
        <v>88</v>
      </c>
      <c r="M78" s="3">
        <f>Table1[[#This Row],[Class4]]+22</f>
        <v>110</v>
      </c>
    </row>
    <row r="79" spans="4:13" x14ac:dyDescent="0.2">
      <c r="E79" t="s">
        <v>5</v>
      </c>
      <c r="F79" s="2">
        <v>76</v>
      </c>
      <c r="I79" s="3">
        <f>Table1[[#This Row],[Class0]]+22</f>
        <v>22</v>
      </c>
      <c r="J79" s="3">
        <f>Table1[[#This Row],[Class1]]+22</f>
        <v>44</v>
      </c>
      <c r="K79" s="3">
        <f>Table1[[#This Row],[Class2]]+22</f>
        <v>66</v>
      </c>
      <c r="L79" s="3">
        <f>Table1[[#This Row],[Class3]]+22</f>
        <v>88</v>
      </c>
      <c r="M79" s="3">
        <f>Table1[[#This Row],[Class4]]+22</f>
        <v>110</v>
      </c>
    </row>
    <row r="80" spans="4:13" x14ac:dyDescent="0.2">
      <c r="E80" t="s">
        <v>7</v>
      </c>
      <c r="F80" s="2">
        <v>77</v>
      </c>
      <c r="I80" s="3">
        <f>Table1[[#This Row],[Class0]]+22</f>
        <v>22</v>
      </c>
      <c r="J80" s="3">
        <f>Table1[[#This Row],[Class1]]+22</f>
        <v>44</v>
      </c>
      <c r="K80" s="3">
        <f>Table1[[#This Row],[Class2]]+22</f>
        <v>66</v>
      </c>
      <c r="L80" s="3">
        <f>Table1[[#This Row],[Class3]]+22</f>
        <v>88</v>
      </c>
      <c r="M80" s="3">
        <f>Table1[[#This Row],[Class4]]+22</f>
        <v>110</v>
      </c>
    </row>
    <row r="81" spans="4:13" x14ac:dyDescent="0.2">
      <c r="E81" t="s">
        <v>9</v>
      </c>
      <c r="F81" s="2">
        <v>78</v>
      </c>
      <c r="I81" s="3">
        <f>Table1[[#This Row],[Class0]]+22</f>
        <v>22</v>
      </c>
      <c r="J81" s="3">
        <f>Table1[[#This Row],[Class1]]+22</f>
        <v>44</v>
      </c>
      <c r="K81" s="3">
        <f>Table1[[#This Row],[Class2]]+22</f>
        <v>66</v>
      </c>
      <c r="L81" s="3">
        <f>Table1[[#This Row],[Class3]]+22</f>
        <v>88</v>
      </c>
      <c r="M81" s="3">
        <f>Table1[[#This Row],[Class4]]+22</f>
        <v>110</v>
      </c>
    </row>
    <row r="82" spans="4:13" x14ac:dyDescent="0.2">
      <c r="E82" t="s">
        <v>11</v>
      </c>
      <c r="F82" s="2">
        <v>79</v>
      </c>
      <c r="I82" s="3">
        <f>Table1[[#This Row],[Class0]]+22</f>
        <v>22</v>
      </c>
      <c r="J82" s="3">
        <f>Table1[[#This Row],[Class1]]+22</f>
        <v>44</v>
      </c>
      <c r="K82" s="3">
        <f>Table1[[#This Row],[Class2]]+22</f>
        <v>66</v>
      </c>
      <c r="L82" s="3">
        <f>Table1[[#This Row],[Class3]]+22</f>
        <v>88</v>
      </c>
      <c r="M82" s="3">
        <f>Table1[[#This Row],[Class4]]+22</f>
        <v>110</v>
      </c>
    </row>
    <row r="83" spans="4:13" x14ac:dyDescent="0.2">
      <c r="E83" t="s">
        <v>1</v>
      </c>
      <c r="F83" s="2">
        <v>80</v>
      </c>
      <c r="I83" s="3">
        <f>Table1[[#This Row],[Class0]]+22</f>
        <v>22</v>
      </c>
      <c r="J83" s="3">
        <f>Table1[[#This Row],[Class1]]+22</f>
        <v>44</v>
      </c>
      <c r="K83" s="3">
        <f>Table1[[#This Row],[Class2]]+22</f>
        <v>66</v>
      </c>
      <c r="L83" s="3">
        <f>Table1[[#This Row],[Class3]]+22</f>
        <v>88</v>
      </c>
      <c r="M83" s="3">
        <f>Table1[[#This Row],[Class4]]+22</f>
        <v>110</v>
      </c>
    </row>
    <row r="84" spans="4:13" x14ac:dyDescent="0.2">
      <c r="E84" t="s">
        <v>12</v>
      </c>
      <c r="F84" s="2">
        <v>81</v>
      </c>
      <c r="I84" s="3">
        <f>Table1[[#This Row],[Class0]]+22</f>
        <v>22</v>
      </c>
      <c r="J84" s="3">
        <f>Table1[[#This Row],[Class1]]+22</f>
        <v>44</v>
      </c>
      <c r="K84" s="3">
        <f>Table1[[#This Row],[Class2]]+22</f>
        <v>66</v>
      </c>
      <c r="L84" s="3">
        <f>Table1[[#This Row],[Class3]]+22</f>
        <v>88</v>
      </c>
      <c r="M84" s="3">
        <f>Table1[[#This Row],[Class4]]+22</f>
        <v>110</v>
      </c>
    </row>
    <row r="85" spans="4:13" x14ac:dyDescent="0.2">
      <c r="E85" t="s">
        <v>14</v>
      </c>
      <c r="F85" s="2">
        <v>82</v>
      </c>
      <c r="I85" s="3">
        <f>Table1[[#This Row],[Class0]]+22</f>
        <v>22</v>
      </c>
      <c r="J85" s="3">
        <f>Table1[[#This Row],[Class1]]+22</f>
        <v>44</v>
      </c>
      <c r="K85" s="3">
        <f>Table1[[#This Row],[Class2]]+22</f>
        <v>66</v>
      </c>
      <c r="L85" s="3">
        <f>Table1[[#This Row],[Class3]]+22</f>
        <v>88</v>
      </c>
      <c r="M85" s="3">
        <f>Table1[[#This Row],[Class4]]+22</f>
        <v>110</v>
      </c>
    </row>
    <row r="86" spans="4:13" x14ac:dyDescent="0.2">
      <c r="E86" t="s">
        <v>4</v>
      </c>
      <c r="F86" s="2">
        <v>83</v>
      </c>
      <c r="I86" s="3">
        <f>Table1[[#This Row],[Class0]]+22</f>
        <v>22</v>
      </c>
      <c r="J86" s="3">
        <f>Table1[[#This Row],[Class1]]+22</f>
        <v>44</v>
      </c>
      <c r="K86" s="3">
        <f>Table1[[#This Row],[Class2]]+22</f>
        <v>66</v>
      </c>
      <c r="L86" s="3">
        <f>Table1[[#This Row],[Class3]]+22</f>
        <v>88</v>
      </c>
      <c r="M86" s="3">
        <f>Table1[[#This Row],[Class4]]+22</f>
        <v>110</v>
      </c>
    </row>
    <row r="87" spans="4:13" x14ac:dyDescent="0.2">
      <c r="E87" t="s">
        <v>6</v>
      </c>
      <c r="F87" s="2">
        <v>84</v>
      </c>
      <c r="I87" s="3">
        <f>Table1[[#This Row],[Class0]]+22</f>
        <v>22</v>
      </c>
      <c r="J87" s="3">
        <f>Table1[[#This Row],[Class1]]+22</f>
        <v>44</v>
      </c>
      <c r="K87" s="3">
        <f>Table1[[#This Row],[Class2]]+22</f>
        <v>66</v>
      </c>
      <c r="L87" s="3">
        <f>Table1[[#This Row],[Class3]]+22</f>
        <v>88</v>
      </c>
      <c r="M87" s="3">
        <f>Table1[[#This Row],[Class4]]+22</f>
        <v>110</v>
      </c>
    </row>
    <row r="88" spans="4:13" x14ac:dyDescent="0.2">
      <c r="E88" t="s">
        <v>8</v>
      </c>
      <c r="F88" s="2">
        <v>85</v>
      </c>
      <c r="I88" s="3">
        <f>Table1[[#This Row],[Class0]]+22</f>
        <v>22</v>
      </c>
      <c r="J88" s="3">
        <f>Table1[[#This Row],[Class1]]+22</f>
        <v>44</v>
      </c>
      <c r="K88" s="3">
        <f>Table1[[#This Row],[Class2]]+22</f>
        <v>66</v>
      </c>
      <c r="L88" s="3">
        <f>Table1[[#This Row],[Class3]]+22</f>
        <v>88</v>
      </c>
      <c r="M88" s="3">
        <f>Table1[[#This Row],[Class4]]+22</f>
        <v>110</v>
      </c>
    </row>
    <row r="89" spans="4:13" x14ac:dyDescent="0.2">
      <c r="E89" t="s">
        <v>10</v>
      </c>
      <c r="F89" s="2">
        <v>86</v>
      </c>
      <c r="I89" s="3">
        <f>Table1[[#This Row],[Class0]]+22</f>
        <v>22</v>
      </c>
      <c r="J89" s="3">
        <f>Table1[[#This Row],[Class1]]+22</f>
        <v>44</v>
      </c>
      <c r="K89" s="3">
        <f>Table1[[#This Row],[Class2]]+22</f>
        <v>66</v>
      </c>
      <c r="L89" s="3">
        <f>Table1[[#This Row],[Class3]]+22</f>
        <v>88</v>
      </c>
      <c r="M89" s="3">
        <f>Table1[[#This Row],[Class4]]+22</f>
        <v>110</v>
      </c>
    </row>
    <row r="90" spans="4:13" x14ac:dyDescent="0.2">
      <c r="E90" t="s">
        <v>3</v>
      </c>
      <c r="F90" s="2">
        <v>87</v>
      </c>
      <c r="I90" s="3">
        <f>Table1[[#This Row],[Class0]]+22</f>
        <v>22</v>
      </c>
      <c r="J90" s="3">
        <f>Table1[[#This Row],[Class1]]+22</f>
        <v>44</v>
      </c>
      <c r="K90" s="3">
        <f>Table1[[#This Row],[Class2]]+22</f>
        <v>66</v>
      </c>
      <c r="L90" s="3">
        <f>Table1[[#This Row],[Class3]]+22</f>
        <v>88</v>
      </c>
      <c r="M90" s="3">
        <f>Table1[[#This Row],[Class4]]+22</f>
        <v>110</v>
      </c>
    </row>
    <row r="91" spans="4:13" x14ac:dyDescent="0.2">
      <c r="D91" t="s">
        <v>30</v>
      </c>
      <c r="E91" t="s">
        <v>2</v>
      </c>
      <c r="F91" s="2">
        <v>88</v>
      </c>
      <c r="I91" s="3">
        <f>Table1[[#This Row],[Class0]]+22</f>
        <v>22</v>
      </c>
      <c r="J91" s="3">
        <f>Table1[[#This Row],[Class1]]+22</f>
        <v>44</v>
      </c>
      <c r="K91" s="3">
        <f>Table1[[#This Row],[Class2]]+22</f>
        <v>66</v>
      </c>
      <c r="L91" s="3">
        <f>Table1[[#This Row],[Class3]]+22</f>
        <v>88</v>
      </c>
      <c r="M91" s="3">
        <f>Table1[[#This Row],[Class4]]+22</f>
        <v>110</v>
      </c>
    </row>
    <row r="92" spans="4:13" x14ac:dyDescent="0.2">
      <c r="E92" t="s">
        <v>17</v>
      </c>
      <c r="F92" s="2">
        <v>89</v>
      </c>
      <c r="I92" s="3">
        <f>Table1[[#This Row],[Class0]]+22</f>
        <v>22</v>
      </c>
      <c r="J92" s="3">
        <f>Table1[[#This Row],[Class1]]+22</f>
        <v>44</v>
      </c>
      <c r="K92" s="3">
        <f>Table1[[#This Row],[Class2]]+22</f>
        <v>66</v>
      </c>
      <c r="L92" s="3">
        <f>Table1[[#This Row],[Class3]]+22</f>
        <v>88</v>
      </c>
      <c r="M92" s="3">
        <f>Table1[[#This Row],[Class4]]+22</f>
        <v>110</v>
      </c>
    </row>
    <row r="93" spans="4:13" x14ac:dyDescent="0.2">
      <c r="E93" t="s">
        <v>19</v>
      </c>
      <c r="F93" s="2">
        <v>90</v>
      </c>
      <c r="I93" s="3">
        <f>Table1[[#This Row],[Class0]]+22</f>
        <v>22</v>
      </c>
      <c r="J93" s="3">
        <f>Table1[[#This Row],[Class1]]+22</f>
        <v>44</v>
      </c>
      <c r="K93" s="3">
        <f>Table1[[#This Row],[Class2]]+22</f>
        <v>66</v>
      </c>
      <c r="L93" s="3">
        <f>Table1[[#This Row],[Class3]]+22</f>
        <v>88</v>
      </c>
      <c r="M93" s="3">
        <f>Table1[[#This Row],[Class4]]+22</f>
        <v>110</v>
      </c>
    </row>
    <row r="94" spans="4:13" x14ac:dyDescent="0.2">
      <c r="E94" t="s">
        <v>18</v>
      </c>
      <c r="F94" s="2">
        <v>91</v>
      </c>
      <c r="I94" s="3">
        <f>Table1[[#This Row],[Class0]]+22</f>
        <v>22</v>
      </c>
      <c r="J94" s="3">
        <f>Table1[[#This Row],[Class1]]+22</f>
        <v>44</v>
      </c>
      <c r="K94" s="3">
        <f>Table1[[#This Row],[Class2]]+22</f>
        <v>66</v>
      </c>
      <c r="L94" s="3">
        <f>Table1[[#This Row],[Class3]]+22</f>
        <v>88</v>
      </c>
      <c r="M94" s="3">
        <f>Table1[[#This Row],[Class4]]+22</f>
        <v>110</v>
      </c>
    </row>
    <row r="95" spans="4:13" x14ac:dyDescent="0.2">
      <c r="E95" t="s">
        <v>20</v>
      </c>
      <c r="F95" s="2">
        <v>92</v>
      </c>
      <c r="I95" s="3">
        <f>Table1[[#This Row],[Class0]]+22</f>
        <v>22</v>
      </c>
      <c r="J95" s="3">
        <f>Table1[[#This Row],[Class1]]+22</f>
        <v>44</v>
      </c>
      <c r="K95" s="3">
        <f>Table1[[#This Row],[Class2]]+22</f>
        <v>66</v>
      </c>
      <c r="L95" s="3">
        <f>Table1[[#This Row],[Class3]]+22</f>
        <v>88</v>
      </c>
      <c r="M95" s="3">
        <f>Table1[[#This Row],[Class4]]+22</f>
        <v>110</v>
      </c>
    </row>
    <row r="96" spans="4:13" x14ac:dyDescent="0.2">
      <c r="E96" t="s">
        <v>16</v>
      </c>
      <c r="F96" s="2">
        <v>93</v>
      </c>
      <c r="I96" s="3">
        <f>Table1[[#This Row],[Class0]]+22</f>
        <v>22</v>
      </c>
      <c r="J96" s="3">
        <f>Table1[[#This Row],[Class1]]+22</f>
        <v>44</v>
      </c>
      <c r="K96" s="3">
        <f>Table1[[#This Row],[Class2]]+22</f>
        <v>66</v>
      </c>
      <c r="L96" s="3">
        <f>Table1[[#This Row],[Class3]]+22</f>
        <v>88</v>
      </c>
      <c r="M96" s="3">
        <f>Table1[[#This Row],[Class4]]+22</f>
        <v>110</v>
      </c>
    </row>
    <row r="97" spans="5:13" x14ac:dyDescent="0.2">
      <c r="E97" t="s">
        <v>0</v>
      </c>
      <c r="F97" s="2">
        <v>94</v>
      </c>
      <c r="I97" s="3">
        <f>Table1[[#This Row],[Class0]]+22</f>
        <v>22</v>
      </c>
      <c r="J97" s="3">
        <f>Table1[[#This Row],[Class1]]+22</f>
        <v>44</v>
      </c>
      <c r="K97" s="3">
        <f>Table1[[#This Row],[Class2]]+22</f>
        <v>66</v>
      </c>
      <c r="L97" s="3">
        <f>Table1[[#This Row],[Class3]]+22</f>
        <v>88</v>
      </c>
      <c r="M97" s="3">
        <f>Table1[[#This Row],[Class4]]+22</f>
        <v>110</v>
      </c>
    </row>
    <row r="98" spans="5:13" x14ac:dyDescent="0.2">
      <c r="E98" t="s">
        <v>21</v>
      </c>
      <c r="F98" s="2">
        <v>95</v>
      </c>
      <c r="I98" s="3">
        <f>Table1[[#This Row],[Class0]]+22</f>
        <v>22</v>
      </c>
      <c r="J98" s="3">
        <f>Table1[[#This Row],[Class1]]+22</f>
        <v>44</v>
      </c>
      <c r="K98" s="3">
        <f>Table1[[#This Row],[Class2]]+22</f>
        <v>66</v>
      </c>
      <c r="L98" s="3">
        <f>Table1[[#This Row],[Class3]]+22</f>
        <v>88</v>
      </c>
      <c r="M98" s="3">
        <f>Table1[[#This Row],[Class4]]+22</f>
        <v>110</v>
      </c>
    </row>
    <row r="99" spans="5:13" x14ac:dyDescent="0.2">
      <c r="E99" t="s">
        <v>13</v>
      </c>
      <c r="F99" s="2">
        <v>96</v>
      </c>
      <c r="I99" s="3">
        <f>Table1[[#This Row],[Class0]]+22</f>
        <v>22</v>
      </c>
      <c r="J99" s="3">
        <f>Table1[[#This Row],[Class1]]+22</f>
        <v>44</v>
      </c>
      <c r="K99" s="3">
        <f>Table1[[#This Row],[Class2]]+22</f>
        <v>66</v>
      </c>
      <c r="L99" s="3">
        <f>Table1[[#This Row],[Class3]]+22</f>
        <v>88</v>
      </c>
      <c r="M99" s="3">
        <f>Table1[[#This Row],[Class4]]+22</f>
        <v>110</v>
      </c>
    </row>
    <row r="100" spans="5:13" x14ac:dyDescent="0.2">
      <c r="E100" t="s">
        <v>15</v>
      </c>
      <c r="F100" s="2">
        <v>97</v>
      </c>
      <c r="I100" s="3">
        <f>Table1[[#This Row],[Class0]]+22</f>
        <v>22</v>
      </c>
      <c r="J100" s="3">
        <f>Table1[[#This Row],[Class1]]+22</f>
        <v>44</v>
      </c>
      <c r="K100" s="3">
        <f>Table1[[#This Row],[Class2]]+22</f>
        <v>66</v>
      </c>
      <c r="L100" s="3">
        <f>Table1[[#This Row],[Class3]]+22</f>
        <v>88</v>
      </c>
      <c r="M100" s="3">
        <f>Table1[[#This Row],[Class4]]+22</f>
        <v>110</v>
      </c>
    </row>
    <row r="101" spans="5:13" x14ac:dyDescent="0.2">
      <c r="E101" t="s">
        <v>5</v>
      </c>
      <c r="F101" s="2">
        <v>98</v>
      </c>
      <c r="I101" s="3">
        <f>Table1[[#This Row],[Class0]]+22</f>
        <v>22</v>
      </c>
      <c r="J101" s="3">
        <f>Table1[[#This Row],[Class1]]+22</f>
        <v>44</v>
      </c>
      <c r="K101" s="3">
        <f>Table1[[#This Row],[Class2]]+22</f>
        <v>66</v>
      </c>
      <c r="L101" s="3">
        <f>Table1[[#This Row],[Class3]]+22</f>
        <v>88</v>
      </c>
      <c r="M101" s="3">
        <f>Table1[[#This Row],[Class4]]+22</f>
        <v>110</v>
      </c>
    </row>
    <row r="102" spans="5:13" x14ac:dyDescent="0.2">
      <c r="E102" t="s">
        <v>7</v>
      </c>
      <c r="F102" s="2">
        <v>99</v>
      </c>
      <c r="I102" s="3">
        <f>Table1[[#This Row],[Class0]]+22</f>
        <v>22</v>
      </c>
      <c r="J102" s="3">
        <f>Table1[[#This Row],[Class1]]+22</f>
        <v>44</v>
      </c>
      <c r="K102" s="3">
        <f>Table1[[#This Row],[Class2]]+22</f>
        <v>66</v>
      </c>
      <c r="L102" s="3">
        <f>Table1[[#This Row],[Class3]]+22</f>
        <v>88</v>
      </c>
      <c r="M102" s="3">
        <f>Table1[[#This Row],[Class4]]+22</f>
        <v>110</v>
      </c>
    </row>
    <row r="103" spans="5:13" x14ac:dyDescent="0.2">
      <c r="E103" t="s">
        <v>9</v>
      </c>
      <c r="F103" s="2">
        <v>100</v>
      </c>
      <c r="I103" s="3">
        <f>Table1[[#This Row],[Class0]]+22</f>
        <v>22</v>
      </c>
      <c r="J103" s="3">
        <f>Table1[[#This Row],[Class1]]+22</f>
        <v>44</v>
      </c>
      <c r="K103" s="3">
        <f>Table1[[#This Row],[Class2]]+22</f>
        <v>66</v>
      </c>
      <c r="L103" s="3">
        <f>Table1[[#This Row],[Class3]]+22</f>
        <v>88</v>
      </c>
      <c r="M103" s="3">
        <f>Table1[[#This Row],[Class4]]+22</f>
        <v>110</v>
      </c>
    </row>
    <row r="104" spans="5:13" x14ac:dyDescent="0.2">
      <c r="E104" t="s">
        <v>11</v>
      </c>
      <c r="F104" s="2">
        <v>101</v>
      </c>
      <c r="I104" s="3">
        <f>Table1[[#This Row],[Class0]]+22</f>
        <v>22</v>
      </c>
      <c r="J104" s="3">
        <f>Table1[[#This Row],[Class1]]+22</f>
        <v>44</v>
      </c>
      <c r="K104" s="3">
        <f>Table1[[#This Row],[Class2]]+22</f>
        <v>66</v>
      </c>
      <c r="L104" s="3">
        <f>Table1[[#This Row],[Class3]]+22</f>
        <v>88</v>
      </c>
      <c r="M104" s="3">
        <f>Table1[[#This Row],[Class4]]+22</f>
        <v>110</v>
      </c>
    </row>
    <row r="105" spans="5:13" x14ac:dyDescent="0.2">
      <c r="E105" t="s">
        <v>1</v>
      </c>
      <c r="F105" s="2">
        <v>102</v>
      </c>
      <c r="I105" s="3">
        <f>Table1[[#This Row],[Class0]]+22</f>
        <v>22</v>
      </c>
      <c r="J105" s="3">
        <f>Table1[[#This Row],[Class1]]+22</f>
        <v>44</v>
      </c>
      <c r="K105" s="3">
        <f>Table1[[#This Row],[Class2]]+22</f>
        <v>66</v>
      </c>
      <c r="L105" s="3">
        <f>Table1[[#This Row],[Class3]]+22</f>
        <v>88</v>
      </c>
      <c r="M105" s="3">
        <f>Table1[[#This Row],[Class4]]+22</f>
        <v>110</v>
      </c>
    </row>
    <row r="106" spans="5:13" x14ac:dyDescent="0.2">
      <c r="E106" t="s">
        <v>12</v>
      </c>
      <c r="F106" s="2">
        <v>103</v>
      </c>
      <c r="I106" s="3">
        <f>Table1[[#This Row],[Class0]]+22</f>
        <v>22</v>
      </c>
      <c r="J106" s="3">
        <f>Table1[[#This Row],[Class1]]+22</f>
        <v>44</v>
      </c>
      <c r="K106" s="3">
        <f>Table1[[#This Row],[Class2]]+22</f>
        <v>66</v>
      </c>
      <c r="L106" s="3">
        <f>Table1[[#This Row],[Class3]]+22</f>
        <v>88</v>
      </c>
      <c r="M106" s="3">
        <f>Table1[[#This Row],[Class4]]+22</f>
        <v>110</v>
      </c>
    </row>
    <row r="107" spans="5:13" x14ac:dyDescent="0.2">
      <c r="E107" t="s">
        <v>14</v>
      </c>
      <c r="F107" s="2">
        <v>104</v>
      </c>
      <c r="I107" s="3">
        <f>Table1[[#This Row],[Class0]]+22</f>
        <v>22</v>
      </c>
      <c r="J107" s="3">
        <f>Table1[[#This Row],[Class1]]+22</f>
        <v>44</v>
      </c>
      <c r="K107" s="3">
        <f>Table1[[#This Row],[Class2]]+22</f>
        <v>66</v>
      </c>
      <c r="L107" s="3">
        <f>Table1[[#This Row],[Class3]]+22</f>
        <v>88</v>
      </c>
      <c r="M107" s="3">
        <f>Table1[[#This Row],[Class4]]+22</f>
        <v>110</v>
      </c>
    </row>
    <row r="108" spans="5:13" x14ac:dyDescent="0.2">
      <c r="E108" t="s">
        <v>4</v>
      </c>
      <c r="F108" s="2">
        <v>105</v>
      </c>
      <c r="I108" s="3">
        <f>Table1[[#This Row],[Class0]]+22</f>
        <v>22</v>
      </c>
      <c r="J108" s="3">
        <f>Table1[[#This Row],[Class1]]+22</f>
        <v>44</v>
      </c>
      <c r="K108" s="3">
        <f>Table1[[#This Row],[Class2]]+22</f>
        <v>66</v>
      </c>
      <c r="L108" s="3">
        <f>Table1[[#This Row],[Class3]]+22</f>
        <v>88</v>
      </c>
      <c r="M108" s="3">
        <f>Table1[[#This Row],[Class4]]+22</f>
        <v>110</v>
      </c>
    </row>
    <row r="109" spans="5:13" x14ac:dyDescent="0.2">
      <c r="E109" t="s">
        <v>6</v>
      </c>
      <c r="F109" s="2">
        <v>106</v>
      </c>
      <c r="I109" s="3">
        <f>Table1[[#This Row],[Class0]]+22</f>
        <v>22</v>
      </c>
      <c r="J109" s="3">
        <f>Table1[[#This Row],[Class1]]+22</f>
        <v>44</v>
      </c>
      <c r="K109" s="3">
        <f>Table1[[#This Row],[Class2]]+22</f>
        <v>66</v>
      </c>
      <c r="L109" s="3">
        <f>Table1[[#This Row],[Class3]]+22</f>
        <v>88</v>
      </c>
      <c r="M109" s="3">
        <f>Table1[[#This Row],[Class4]]+22</f>
        <v>110</v>
      </c>
    </row>
    <row r="110" spans="5:13" x14ac:dyDescent="0.2">
      <c r="E110" t="s">
        <v>8</v>
      </c>
      <c r="F110" s="2">
        <v>107</v>
      </c>
      <c r="I110" s="3">
        <f>Table1[[#This Row],[Class0]]+22</f>
        <v>22</v>
      </c>
      <c r="J110" s="3">
        <f>Table1[[#This Row],[Class1]]+22</f>
        <v>44</v>
      </c>
      <c r="K110" s="3">
        <f>Table1[[#This Row],[Class2]]+22</f>
        <v>66</v>
      </c>
      <c r="L110" s="3">
        <f>Table1[[#This Row],[Class3]]+22</f>
        <v>88</v>
      </c>
      <c r="M110" s="3">
        <f>Table1[[#This Row],[Class4]]+22</f>
        <v>110</v>
      </c>
    </row>
    <row r="111" spans="5:13" x14ac:dyDescent="0.2">
      <c r="E111" t="s">
        <v>10</v>
      </c>
      <c r="F111" s="2">
        <v>108</v>
      </c>
      <c r="I111" s="3">
        <f>Table1[[#This Row],[Class0]]+22</f>
        <v>22</v>
      </c>
      <c r="J111" s="3">
        <f>Table1[[#This Row],[Class1]]+22</f>
        <v>44</v>
      </c>
      <c r="K111" s="3">
        <f>Table1[[#This Row],[Class2]]+22</f>
        <v>66</v>
      </c>
      <c r="L111" s="3">
        <f>Table1[[#This Row],[Class3]]+22</f>
        <v>88</v>
      </c>
      <c r="M111" s="3">
        <f>Table1[[#This Row],[Class4]]+22</f>
        <v>110</v>
      </c>
    </row>
    <row r="112" spans="5:13" x14ac:dyDescent="0.2">
      <c r="E112" t="s">
        <v>3</v>
      </c>
      <c r="F112" s="2">
        <v>109</v>
      </c>
      <c r="I112" s="3">
        <f>Table1[[#This Row],[Class0]]+22</f>
        <v>22</v>
      </c>
      <c r="J112" s="3">
        <f>Table1[[#This Row],[Class1]]+22</f>
        <v>44</v>
      </c>
      <c r="K112" s="3">
        <f>Table1[[#This Row],[Class2]]+22</f>
        <v>66</v>
      </c>
      <c r="L112" s="3">
        <f>Table1[[#This Row],[Class3]]+22</f>
        <v>88</v>
      </c>
      <c r="M112" s="3">
        <f>Table1[[#This Row],[Class4]]+22</f>
        <v>110</v>
      </c>
    </row>
    <row r="113" spans="4:13" x14ac:dyDescent="0.2">
      <c r="D113" t="s">
        <v>31</v>
      </c>
      <c r="E113" t="s">
        <v>2</v>
      </c>
      <c r="F113" s="2">
        <v>110</v>
      </c>
      <c r="I113" s="3">
        <f>Table1[[#This Row],[Class0]]+22</f>
        <v>22</v>
      </c>
      <c r="J113" s="3">
        <f>Table1[[#This Row],[Class1]]+22</f>
        <v>44</v>
      </c>
      <c r="K113" s="3">
        <f>Table1[[#This Row],[Class2]]+22</f>
        <v>66</v>
      </c>
      <c r="L113" s="3">
        <f>Table1[[#This Row],[Class3]]+22</f>
        <v>88</v>
      </c>
      <c r="M113" s="3">
        <f>Table1[[#This Row],[Class4]]+22</f>
        <v>110</v>
      </c>
    </row>
    <row r="114" spans="4:13" x14ac:dyDescent="0.2">
      <c r="E114" t="s">
        <v>17</v>
      </c>
      <c r="F114" s="2">
        <v>111</v>
      </c>
      <c r="I114" s="3">
        <f>Table1[[#This Row],[Class0]]+22</f>
        <v>22</v>
      </c>
      <c r="J114" s="3">
        <f>Table1[[#This Row],[Class1]]+22</f>
        <v>44</v>
      </c>
      <c r="K114" s="3">
        <f>Table1[[#This Row],[Class2]]+22</f>
        <v>66</v>
      </c>
      <c r="L114" s="3">
        <f>Table1[[#This Row],[Class3]]+22</f>
        <v>88</v>
      </c>
      <c r="M114" s="3">
        <f>Table1[[#This Row],[Class4]]+22</f>
        <v>110</v>
      </c>
    </row>
    <row r="115" spans="4:13" x14ac:dyDescent="0.2">
      <c r="E115" t="s">
        <v>19</v>
      </c>
      <c r="F115" s="2">
        <v>112</v>
      </c>
      <c r="I115" s="3">
        <f>Table1[[#This Row],[Class0]]+22</f>
        <v>22</v>
      </c>
      <c r="J115" s="3">
        <f>Table1[[#This Row],[Class1]]+22</f>
        <v>44</v>
      </c>
      <c r="K115" s="3">
        <f>Table1[[#This Row],[Class2]]+22</f>
        <v>66</v>
      </c>
      <c r="L115" s="3">
        <f>Table1[[#This Row],[Class3]]+22</f>
        <v>88</v>
      </c>
      <c r="M115" s="3">
        <f>Table1[[#This Row],[Class4]]+22</f>
        <v>110</v>
      </c>
    </row>
    <row r="116" spans="4:13" x14ac:dyDescent="0.2">
      <c r="E116" t="s">
        <v>18</v>
      </c>
      <c r="F116" s="2">
        <v>113</v>
      </c>
      <c r="I116" s="3">
        <f>Table1[[#This Row],[Class0]]+22</f>
        <v>22</v>
      </c>
      <c r="J116" s="3">
        <f>Table1[[#This Row],[Class1]]+22</f>
        <v>44</v>
      </c>
      <c r="K116" s="3">
        <f>Table1[[#This Row],[Class2]]+22</f>
        <v>66</v>
      </c>
      <c r="L116" s="3">
        <f>Table1[[#This Row],[Class3]]+22</f>
        <v>88</v>
      </c>
      <c r="M116" s="3">
        <f>Table1[[#This Row],[Class4]]+22</f>
        <v>110</v>
      </c>
    </row>
    <row r="117" spans="4:13" x14ac:dyDescent="0.2">
      <c r="E117" t="s">
        <v>20</v>
      </c>
      <c r="F117" s="2">
        <v>114</v>
      </c>
      <c r="I117" s="3">
        <f>Table1[[#This Row],[Class0]]+22</f>
        <v>22</v>
      </c>
      <c r="J117" s="3">
        <f>Table1[[#This Row],[Class1]]+22</f>
        <v>44</v>
      </c>
      <c r="K117" s="3">
        <f>Table1[[#This Row],[Class2]]+22</f>
        <v>66</v>
      </c>
      <c r="L117" s="3">
        <f>Table1[[#This Row],[Class3]]+22</f>
        <v>88</v>
      </c>
      <c r="M117" s="3">
        <f>Table1[[#This Row],[Class4]]+22</f>
        <v>110</v>
      </c>
    </row>
    <row r="118" spans="4:13" x14ac:dyDescent="0.2">
      <c r="E118" t="s">
        <v>16</v>
      </c>
      <c r="F118" s="2">
        <v>115</v>
      </c>
      <c r="I118" s="3">
        <f>Table1[[#This Row],[Class0]]+22</f>
        <v>22</v>
      </c>
      <c r="J118" s="3">
        <f>Table1[[#This Row],[Class1]]+22</f>
        <v>44</v>
      </c>
      <c r="K118" s="3">
        <f>Table1[[#This Row],[Class2]]+22</f>
        <v>66</v>
      </c>
      <c r="L118" s="3">
        <f>Table1[[#This Row],[Class3]]+22</f>
        <v>88</v>
      </c>
      <c r="M118" s="3">
        <f>Table1[[#This Row],[Class4]]+22</f>
        <v>110</v>
      </c>
    </row>
    <row r="119" spans="4:13" x14ac:dyDescent="0.2">
      <c r="E119" t="s">
        <v>0</v>
      </c>
      <c r="F119" s="2">
        <v>116</v>
      </c>
      <c r="I119" s="3">
        <f>Table1[[#This Row],[Class0]]+22</f>
        <v>22</v>
      </c>
      <c r="J119" s="3">
        <f>Table1[[#This Row],[Class1]]+22</f>
        <v>44</v>
      </c>
      <c r="K119" s="3">
        <f>Table1[[#This Row],[Class2]]+22</f>
        <v>66</v>
      </c>
      <c r="L119" s="3">
        <f>Table1[[#This Row],[Class3]]+22</f>
        <v>88</v>
      </c>
      <c r="M119" s="3">
        <f>Table1[[#This Row],[Class4]]+22</f>
        <v>110</v>
      </c>
    </row>
    <row r="120" spans="4:13" x14ac:dyDescent="0.2">
      <c r="E120" t="s">
        <v>21</v>
      </c>
      <c r="F120" s="2">
        <v>117</v>
      </c>
      <c r="I120" s="3">
        <f>Table1[[#This Row],[Class0]]+22</f>
        <v>22</v>
      </c>
      <c r="J120" s="3">
        <f>Table1[[#This Row],[Class1]]+22</f>
        <v>44</v>
      </c>
      <c r="K120" s="3">
        <f>Table1[[#This Row],[Class2]]+22</f>
        <v>66</v>
      </c>
      <c r="L120" s="3">
        <f>Table1[[#This Row],[Class3]]+22</f>
        <v>88</v>
      </c>
      <c r="M120" s="3">
        <f>Table1[[#This Row],[Class4]]+22</f>
        <v>110</v>
      </c>
    </row>
    <row r="121" spans="4:13" x14ac:dyDescent="0.2">
      <c r="E121" t="s">
        <v>13</v>
      </c>
      <c r="F121" s="2">
        <v>118</v>
      </c>
      <c r="I121" s="3">
        <f>Table1[[#This Row],[Class0]]+22</f>
        <v>22</v>
      </c>
      <c r="J121" s="3">
        <f>Table1[[#This Row],[Class1]]+22</f>
        <v>44</v>
      </c>
      <c r="K121" s="3">
        <f>Table1[[#This Row],[Class2]]+22</f>
        <v>66</v>
      </c>
      <c r="L121" s="3">
        <f>Table1[[#This Row],[Class3]]+22</f>
        <v>88</v>
      </c>
      <c r="M121" s="3">
        <f>Table1[[#This Row],[Class4]]+22</f>
        <v>110</v>
      </c>
    </row>
    <row r="122" spans="4:13" x14ac:dyDescent="0.2">
      <c r="E122" t="s">
        <v>15</v>
      </c>
      <c r="F122" s="2">
        <v>119</v>
      </c>
      <c r="I122" s="3">
        <f>Table1[[#This Row],[Class0]]+22</f>
        <v>22</v>
      </c>
      <c r="J122" s="3">
        <f>Table1[[#This Row],[Class1]]+22</f>
        <v>44</v>
      </c>
      <c r="K122" s="3">
        <f>Table1[[#This Row],[Class2]]+22</f>
        <v>66</v>
      </c>
      <c r="L122" s="3">
        <f>Table1[[#This Row],[Class3]]+22</f>
        <v>88</v>
      </c>
      <c r="M122" s="3">
        <f>Table1[[#This Row],[Class4]]+22</f>
        <v>110</v>
      </c>
    </row>
    <row r="123" spans="4:13" x14ac:dyDescent="0.2">
      <c r="E123" t="s">
        <v>5</v>
      </c>
      <c r="F123" s="2">
        <v>120</v>
      </c>
      <c r="I123" s="3">
        <f>Table1[[#This Row],[Class0]]+22</f>
        <v>22</v>
      </c>
      <c r="J123" s="3">
        <f>Table1[[#This Row],[Class1]]+22</f>
        <v>44</v>
      </c>
      <c r="K123" s="3">
        <f>Table1[[#This Row],[Class2]]+22</f>
        <v>66</v>
      </c>
      <c r="L123" s="3">
        <f>Table1[[#This Row],[Class3]]+22</f>
        <v>88</v>
      </c>
      <c r="M123" s="3">
        <f>Table1[[#This Row],[Class4]]+22</f>
        <v>110</v>
      </c>
    </row>
    <row r="124" spans="4:13" x14ac:dyDescent="0.2">
      <c r="E124" t="s">
        <v>7</v>
      </c>
      <c r="F124" s="2">
        <v>121</v>
      </c>
      <c r="I124" s="3">
        <f>Table1[[#This Row],[Class0]]+22</f>
        <v>22</v>
      </c>
      <c r="J124" s="3">
        <f>Table1[[#This Row],[Class1]]+22</f>
        <v>44</v>
      </c>
      <c r="K124" s="3">
        <f>Table1[[#This Row],[Class2]]+22</f>
        <v>66</v>
      </c>
      <c r="L124" s="3">
        <f>Table1[[#This Row],[Class3]]+22</f>
        <v>88</v>
      </c>
      <c r="M124" s="3">
        <f>Table1[[#This Row],[Class4]]+22</f>
        <v>110</v>
      </c>
    </row>
    <row r="125" spans="4:13" x14ac:dyDescent="0.2">
      <c r="E125" t="s">
        <v>9</v>
      </c>
      <c r="F125" s="2">
        <v>122</v>
      </c>
      <c r="I125" s="3">
        <f>Table1[[#This Row],[Class0]]+22</f>
        <v>22</v>
      </c>
      <c r="J125" s="3">
        <f>Table1[[#This Row],[Class1]]+22</f>
        <v>44</v>
      </c>
      <c r="K125" s="3">
        <f>Table1[[#This Row],[Class2]]+22</f>
        <v>66</v>
      </c>
      <c r="L125" s="3">
        <f>Table1[[#This Row],[Class3]]+22</f>
        <v>88</v>
      </c>
      <c r="M125" s="3">
        <f>Table1[[#This Row],[Class4]]+22</f>
        <v>110</v>
      </c>
    </row>
    <row r="126" spans="4:13" x14ac:dyDescent="0.2">
      <c r="E126" t="s">
        <v>11</v>
      </c>
      <c r="F126" s="2">
        <v>123</v>
      </c>
      <c r="I126" s="3">
        <f>Table1[[#This Row],[Class0]]+22</f>
        <v>22</v>
      </c>
      <c r="J126" s="3">
        <f>Table1[[#This Row],[Class1]]+22</f>
        <v>44</v>
      </c>
      <c r="K126" s="3">
        <f>Table1[[#This Row],[Class2]]+22</f>
        <v>66</v>
      </c>
      <c r="L126" s="3">
        <f>Table1[[#This Row],[Class3]]+22</f>
        <v>88</v>
      </c>
      <c r="M126" s="3">
        <f>Table1[[#This Row],[Class4]]+22</f>
        <v>110</v>
      </c>
    </row>
    <row r="127" spans="4:13" x14ac:dyDescent="0.2">
      <c r="E127" t="s">
        <v>1</v>
      </c>
      <c r="F127" s="2">
        <v>124</v>
      </c>
      <c r="I127" s="3">
        <f>Table1[[#This Row],[Class0]]+22</f>
        <v>22</v>
      </c>
      <c r="J127" s="3">
        <f>Table1[[#This Row],[Class1]]+22</f>
        <v>44</v>
      </c>
      <c r="K127" s="3">
        <f>Table1[[#This Row],[Class2]]+22</f>
        <v>66</v>
      </c>
      <c r="L127" s="3">
        <f>Table1[[#This Row],[Class3]]+22</f>
        <v>88</v>
      </c>
      <c r="M127" s="3">
        <f>Table1[[#This Row],[Class4]]+22</f>
        <v>110</v>
      </c>
    </row>
    <row r="128" spans="4:13" x14ac:dyDescent="0.2">
      <c r="E128" t="s">
        <v>12</v>
      </c>
      <c r="F128" s="2">
        <v>125</v>
      </c>
      <c r="I128" s="3">
        <f>Table1[[#This Row],[Class0]]+22</f>
        <v>22</v>
      </c>
      <c r="J128" s="3">
        <f>Table1[[#This Row],[Class1]]+22</f>
        <v>44</v>
      </c>
      <c r="K128" s="3">
        <f>Table1[[#This Row],[Class2]]+22</f>
        <v>66</v>
      </c>
      <c r="L128" s="3">
        <f>Table1[[#This Row],[Class3]]+22</f>
        <v>88</v>
      </c>
      <c r="M128" s="3">
        <f>Table1[[#This Row],[Class4]]+22</f>
        <v>110</v>
      </c>
    </row>
    <row r="129" spans="5:13" x14ac:dyDescent="0.2">
      <c r="E129" t="s">
        <v>14</v>
      </c>
      <c r="F129" s="2">
        <v>126</v>
      </c>
      <c r="I129" s="3">
        <f>Table1[[#This Row],[Class0]]+22</f>
        <v>22</v>
      </c>
      <c r="J129" s="3">
        <f>Table1[[#This Row],[Class1]]+22</f>
        <v>44</v>
      </c>
      <c r="K129" s="3">
        <f>Table1[[#This Row],[Class2]]+22</f>
        <v>66</v>
      </c>
      <c r="L129" s="3">
        <f>Table1[[#This Row],[Class3]]+22</f>
        <v>88</v>
      </c>
      <c r="M129" s="3">
        <f>Table1[[#This Row],[Class4]]+22</f>
        <v>110</v>
      </c>
    </row>
    <row r="130" spans="5:13" x14ac:dyDescent="0.2">
      <c r="E130" t="s">
        <v>4</v>
      </c>
      <c r="F130" s="2">
        <v>127</v>
      </c>
      <c r="I130" s="3">
        <f>Table1[[#This Row],[Class0]]+22</f>
        <v>22</v>
      </c>
      <c r="J130" s="3">
        <f>Table1[[#This Row],[Class1]]+22</f>
        <v>44</v>
      </c>
      <c r="K130" s="3">
        <f>Table1[[#This Row],[Class2]]+22</f>
        <v>66</v>
      </c>
      <c r="L130" s="3">
        <f>Table1[[#This Row],[Class3]]+22</f>
        <v>88</v>
      </c>
      <c r="M130" s="3">
        <f>Table1[[#This Row],[Class4]]+22</f>
        <v>110</v>
      </c>
    </row>
    <row r="131" spans="5:13" x14ac:dyDescent="0.2">
      <c r="E131" t="s">
        <v>6</v>
      </c>
      <c r="F131" s="2">
        <v>128</v>
      </c>
      <c r="I131" s="3">
        <f>Table1[[#This Row],[Class0]]+22</f>
        <v>22</v>
      </c>
      <c r="J131" s="3">
        <f>Table1[[#This Row],[Class1]]+22</f>
        <v>44</v>
      </c>
      <c r="K131" s="3">
        <f>Table1[[#This Row],[Class2]]+22</f>
        <v>66</v>
      </c>
      <c r="L131" s="3">
        <f>Table1[[#This Row],[Class3]]+22</f>
        <v>88</v>
      </c>
      <c r="M131" s="3">
        <f>Table1[[#This Row],[Class4]]+22</f>
        <v>110</v>
      </c>
    </row>
    <row r="132" spans="5:13" x14ac:dyDescent="0.2">
      <c r="E132" t="s">
        <v>8</v>
      </c>
      <c r="F132" s="2">
        <v>129</v>
      </c>
      <c r="I132" s="3">
        <f>Table1[[#This Row],[Class0]]+22</f>
        <v>22</v>
      </c>
      <c r="J132" s="3">
        <f>Table1[[#This Row],[Class1]]+22</f>
        <v>44</v>
      </c>
      <c r="K132" s="3">
        <f>Table1[[#This Row],[Class2]]+22</f>
        <v>66</v>
      </c>
      <c r="L132" s="3">
        <f>Table1[[#This Row],[Class3]]+22</f>
        <v>88</v>
      </c>
      <c r="M132" s="3">
        <f>Table1[[#This Row],[Class4]]+22</f>
        <v>110</v>
      </c>
    </row>
    <row r="133" spans="5:13" x14ac:dyDescent="0.2">
      <c r="E133" t="s">
        <v>10</v>
      </c>
      <c r="F133" s="2">
        <v>130</v>
      </c>
      <c r="I133" s="3">
        <f>Table1[[#This Row],[Class0]]+22</f>
        <v>22</v>
      </c>
      <c r="J133" s="3">
        <f>Table1[[#This Row],[Class1]]+22</f>
        <v>44</v>
      </c>
      <c r="K133" s="3">
        <f>Table1[[#This Row],[Class2]]+22</f>
        <v>66</v>
      </c>
      <c r="L133" s="3">
        <f>Table1[[#This Row],[Class3]]+22</f>
        <v>88</v>
      </c>
      <c r="M133" s="3">
        <f>Table1[[#This Row],[Class4]]+22</f>
        <v>110</v>
      </c>
    </row>
    <row r="134" spans="5:13" x14ac:dyDescent="0.2">
      <c r="E134" t="s">
        <v>3</v>
      </c>
      <c r="F134" s="2">
        <v>131</v>
      </c>
      <c r="I134" s="3">
        <f>Table1[[#This Row],[Class0]]+22</f>
        <v>22</v>
      </c>
      <c r="J134" s="3">
        <f>Table1[[#This Row],[Class1]]+22</f>
        <v>44</v>
      </c>
      <c r="K134" s="3">
        <f>Table1[[#This Row],[Class2]]+22</f>
        <v>66</v>
      </c>
      <c r="L134" s="3">
        <f>Table1[[#This Row],[Class3]]+22</f>
        <v>88</v>
      </c>
      <c r="M134" s="3">
        <f>Table1[[#This Row],[Class4]]+22</f>
        <v>110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 Hünteler</dc:creator>
  <cp:lastModifiedBy>Bettina Hünteler</cp:lastModifiedBy>
  <dcterms:created xsi:type="dcterms:W3CDTF">2024-10-19T10:30:42Z</dcterms:created>
  <dcterms:modified xsi:type="dcterms:W3CDTF">2024-10-21T15:49:58Z</dcterms:modified>
</cp:coreProperties>
</file>